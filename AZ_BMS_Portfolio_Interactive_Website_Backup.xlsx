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1.xml" ContentType="application/vnd.openxmlformats-officedocument.drawing+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drawings/drawing2.xml" ContentType="application/vnd.openxmlformats-officedocument.drawing+xml"/>
  <Override PartName="/xl/worksheets/sheet12.xml" ContentType="application/vnd.openxmlformats-officedocument.spreadsheetml.worksheet+xml"/>
  <Override PartName="/xl/tables/table1.xml" ContentType="application/vnd.openxmlformats-officedocument.spreadsheetml.table+xml"/>
  <Override PartName="/xl/worksheets/sheet13.xml" ContentType="application/vnd.openxmlformats-officedocument.spreadsheetml.worksheet+xml"/>
  <Override PartName="/xl/tables/table2.xml" ContentType="application/vnd.openxmlformats-officedocument.spreadsheetml.table+xml"/>
  <Override PartName="/xl/worksheets/sheet14.xml" ContentType="application/vnd.openxmlformats-officedocument.spreadsheetml.worksheet+xml"/>
  <Override PartName="/xl/tables/table3.xml" ContentType="application/vnd.openxmlformats-officedocument.spreadsheetml.table+xml"/>
  <Override PartName="/xl/worksheets/sheet15.xml" ContentType="application/vnd.openxmlformats-officedocument.spreadsheetml.worksheet+xml"/>
  <Override PartName="/xl/tables/table4.xml" ContentType="application/vnd.openxmlformats-officedocument.spreadsheetml.table+xml"/>
  <Override PartName="/xl/worksheets/sheet16.xml" ContentType="application/vnd.openxmlformats-officedocument.spreadsheetml.worksheet+xml"/>
  <Override PartName="/xl/tables/table5.xml" ContentType="application/vnd.openxmlformats-officedocument.spreadsheetml.table+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Website_README" sheetId="1" state="visible" r:id="rId1"/>
    <sheet xmlns:r="http://schemas.openxmlformats.org/officeDocument/2006/relationships" name="README" sheetId="2" state="visible" r:id="rId2"/>
    <sheet xmlns:r="http://schemas.openxmlformats.org/officeDocument/2006/relationships" name="Asset_Data" sheetId="3" state="visible" r:id="rId3"/>
    <sheet xmlns:r="http://schemas.openxmlformats.org/officeDocument/2006/relationships" name="Overlap_Units" sheetId="4" state="visible" r:id="rId4"/>
    <sheet xmlns:r="http://schemas.openxmlformats.org/officeDocument/2006/relationships" name="Overlap_Matrix" sheetId="5" state="visible" r:id="rId5"/>
    <sheet xmlns:r="http://schemas.openxmlformats.org/officeDocument/2006/relationships" name="Plot_Data" sheetId="6" state="visible" r:id="rId6"/>
    <sheet xmlns:r="http://schemas.openxmlformats.org/officeDocument/2006/relationships" name="Visual_Settings" sheetId="7" state="visible" r:id="rId7"/>
    <sheet xmlns:r="http://schemas.openxmlformats.org/officeDocument/2006/relationships" name="Summary" sheetId="8" state="visible" r:id="rId8"/>
    <sheet xmlns:r="http://schemas.openxmlformats.org/officeDocument/2006/relationships" name="LinkedIn_Draft" sheetId="9" state="visible" r:id="rId9"/>
    <sheet xmlns:r="http://schemas.openxmlformats.org/officeDocument/2006/relationships" name="Sources" sheetId="10" state="visible" r:id="rId10"/>
    <sheet xmlns:r="http://schemas.openxmlformats.org/officeDocument/2006/relationships" name="Infographic" sheetId="11" state="visible" r:id="rId11"/>
    <sheet xmlns:r="http://schemas.openxmlformats.org/officeDocument/2006/relationships" name="Fit_Collision_Matrix" sheetId="12" state="visible" r:id="rId12"/>
    <sheet xmlns:r="http://schemas.openxmlformats.org/officeDocument/2006/relationships" name="Matrix_Program_Map" sheetId="13" state="visible" r:id="rId13"/>
    <sheet xmlns:r="http://schemas.openxmlformats.org/officeDocument/2006/relationships" name="Program_Details" sheetId="14" state="visible" r:id="rId14"/>
    <sheet xmlns:r="http://schemas.openxmlformats.org/officeDocument/2006/relationships" name="Commercial_Benchmarks" sheetId="15" state="visible" r:id="rId15"/>
    <sheet xmlns:r="http://schemas.openxmlformats.org/officeDocument/2006/relationships" name="Website_Export" sheetId="16" state="visible" r:id="rId16"/>
    <sheet xmlns:r="http://schemas.openxmlformats.org/officeDocument/2006/relationships" name="Brand_Context" sheetId="17" state="visible" r:id="rId17"/>
    <sheet xmlns:r="http://schemas.openxmlformats.org/officeDocument/2006/relationships" name="Sales_Assumptions" sheetId="18" state="visible" r:id="rId18"/>
    <sheet xmlns:r="http://schemas.openxmlformats.org/officeDocument/2006/relationships" name="Sales_Trends" sheetId="19" state="visible" r:id="rId19"/>
  </sheets>
  <definedNames>
    <definedName name="_xlnm._FilterDatabase" localSheetId="9" hidden="1">'Sources'!$A$1:$D$10</definedName>
    <definedName name="_xlnm._FilterDatabase" localSheetId="16" hidden="1">'Brand_Context'!$A$3:$H$10</definedName>
    <definedName name="_xlnm._FilterDatabase" localSheetId="17" hidden="1">'Sales_Assumptions'!$A$3:$I$14</definedName>
    <definedName name="_xlnm._FilterDatabase" localSheetId="18" hidden="1">'Sales_Trends'!$A$4:$O$127</definedName>
  </definedNames>
</workbook>
</file>

<file path=xl/styles.xml><?xml version="1.0" encoding="utf-8"?>
<styleSheet xmlns="http://schemas.openxmlformats.org/spreadsheetml/2006/main">
  <numFmts count="4">
    <numFmt numFmtId="164" formatCode="yyyy-mm-dd"/>
    <numFmt numFmtId="165" formatCode="$#,##0;[Red]($#,##0);-"/>
    <numFmt numFmtId="166" formatCode="#,##0.0"/>
    <numFmt numFmtId="167" formatCode="0.0%;[Red](0.0%)"/>
  </numFmts>
  <fonts count="47">
    <font>
      <name val="Calibri"/>
      <color theme="1"/>
      <sz val="11"/>
    </font>
    <font>
      <name val="Aptos Display"/>
      <b val="1"/>
      <color rgb="FF183F35"/>
      <sz val="22"/>
    </font>
    <font>
      <b val="1"/>
      <color rgb="FFFFFFFF"/>
    </font>
    <font>
      <b val="1"/>
      <color rgb="FF7030A0"/>
    </font>
    <font>
      <color rgb="FF008000"/>
    </font>
    <font>
      <color rgb="FF6E756E"/>
    </font>
    <font>
      <b val="1"/>
      <color rgb="FF183F35"/>
      <sz val="20"/>
    </font>
    <font>
      <color rgb="FF000000"/>
    </font>
    <font>
      <b val="1"/>
      <color rgb="FF000000"/>
    </font>
    <font>
      <b val="1"/>
      <color rgb="FF183F35"/>
    </font>
    <font>
      <color rgb="FF222222"/>
      <sz val="12"/>
    </font>
    <font>
      <name val="Aptos Display"/>
      <b val="1"/>
      <color rgb="FF19212C"/>
      <sz val="19"/>
    </font>
    <font>
      <name val="Aptos"/>
      <color rgb="FF3B4657"/>
      <sz val="10"/>
    </font>
    <font>
      <name val="Aptos"/>
      <b val="1"/>
      <color rgb="FFFFFFFF"/>
      <sz val="9"/>
    </font>
    <font>
      <name val="Aptos"/>
      <color rgb="FF008000"/>
      <sz val="9"/>
    </font>
    <font>
      <name val="Aptos"/>
      <color rgb="FF0000FF"/>
      <sz val="9"/>
    </font>
    <font>
      <name val="Aptos"/>
      <b val="1"/>
      <color rgb="FFFFFFFF"/>
      <sz val="10"/>
    </font>
    <font>
      <name val="Aptos"/>
      <b val="1"/>
      <color rgb="FF9D005A"/>
      <sz val="10"/>
    </font>
    <font>
      <name val="Aptos Display"/>
      <b val="1"/>
      <color rgb="FF19212C"/>
      <sz val="20"/>
    </font>
    <font>
      <name val="Aptos"/>
      <color rgb="FF171A21"/>
      <sz val="9"/>
    </font>
    <font>
      <name val="Aptos"/>
      <b val="1"/>
      <color rgb="FF19212C"/>
      <sz val="10"/>
    </font>
    <font>
      <name val="Aptos"/>
      <i val="1"/>
      <color rgb="FF3B4657"/>
      <sz val="9"/>
    </font>
    <font>
      <name val="Aptos Display"/>
      <b val="1"/>
      <color rgb="FF19212C"/>
      <sz val="16"/>
    </font>
    <font>
      <name val="Aptos"/>
      <b val="1"/>
      <color rgb="FF19212C"/>
      <sz val="11"/>
    </font>
    <font>
      <name val="Arial"/>
      <b val="1"/>
      <color rgb="FFFFFFFF"/>
      <sz val="11"/>
    </font>
    <font>
      <name val="Arial"/>
      <color rgb="FF404040"/>
      <sz val="10"/>
    </font>
    <font>
      <name val="Arial"/>
      <b val="1"/>
      <color rgb="FFFFFFFF"/>
      <sz val="16"/>
    </font>
    <font>
      <name val="Arial"/>
      <b val="1"/>
      <color rgb="FFFFFFFF"/>
      <sz val="10"/>
    </font>
    <font>
      <b val="1"/>
      <color rgb="FF182230"/>
    </font>
    <font>
      <name val="Arial"/>
      <b val="1"/>
      <color rgb="FF404040"/>
      <sz val="10"/>
    </font>
    <font>
      <name val="Aptos Display"/>
      <b val="1"/>
      <color rgb="FFFFFFFF"/>
      <sz val="20"/>
    </font>
    <font>
      <b val="1"/>
      <color rgb="FF172231"/>
    </font>
    <font>
      <b val="1"/>
      <color rgb="FF8A1F68"/>
    </font>
    <font>
      <color rgb="FF0000FF"/>
    </font>
    <font>
      <b val="1"/>
      <color rgb="FF283B75"/>
    </font>
    <font>
      <name val="Aptos Display"/>
      <b val="1"/>
      <color rgb="FFFFFFFF"/>
      <sz val="18"/>
    </font>
    <font>
      <i val="1"/>
      <color rgb="FF667085"/>
    </font>
    <font>
      <color rgb="FF008000"/>
    </font>
    <font>
      <color rgb="FF667085"/>
    </font>
    <font>
      <b val="1"/>
      <color rgb="00FFFFFF"/>
    </font>
    <font>
      <b val="1"/>
      <color rgb="00FFFFFF"/>
      <sz val="15"/>
    </font>
    <font>
      <b val="1"/>
      <color rgb="00FFFFFF"/>
      <sz val="10"/>
    </font>
    <font>
      <i val="1"/>
      <color rgb="00667085"/>
      <sz val="10"/>
    </font>
    <font>
      <color rgb="00008000"/>
    </font>
    <font>
      <color rgb="00000000"/>
    </font>
    <font>
      <color rgb="000000FF"/>
    </font>
    <font>
      <b val="1"/>
      <color rgb="008E1B64"/>
    </font>
  </fonts>
  <fills count="35">
    <fill>
      <patternFill/>
    </fill>
    <fill>
      <patternFill patternType="gray125"/>
    </fill>
    <fill>
      <patternFill patternType="solid">
        <fgColor rgb="FF183F35"/>
      </patternFill>
    </fill>
    <fill>
      <patternFill patternType="solid">
        <fgColor rgb="FFC65911"/>
      </patternFill>
    </fill>
    <fill>
      <patternFill patternType="solid">
        <fgColor rgb="FFFCE4D6"/>
      </patternFill>
    </fill>
    <fill>
      <patternFill patternType="solid">
        <fgColor rgb="FFF4DDE9"/>
      </patternFill>
    </fill>
    <fill>
      <patternFill patternType="solid">
        <fgColor rgb="FFF2DDF2"/>
      </patternFill>
    </fill>
    <fill>
      <patternFill patternType="solid">
        <fgColor rgb="FFF7F3E7"/>
      </patternFill>
    </fill>
    <fill>
      <patternFill patternType="solid">
        <fgColor rgb="FFF5F2EE"/>
      </patternFill>
    </fill>
    <fill>
      <patternFill patternType="solid">
        <fgColor rgb="FF19212C"/>
      </patternFill>
    </fill>
    <fill>
      <patternFill patternType="solid">
        <fgColor rgb="FFD60073"/>
      </patternFill>
    </fill>
    <fill>
      <patternFill patternType="solid">
        <fgColor rgb="FFF05F9D"/>
      </patternFill>
    </fill>
    <fill>
      <patternFill patternType="solid">
        <fgColor rgb="FFF5C6DC"/>
      </patternFill>
    </fill>
    <fill>
      <patternFill patternType="solid">
        <fgColor rgb="FFF9F7F4"/>
      </patternFill>
    </fill>
    <fill>
      <patternFill patternType="solid">
        <fgColor rgb="FF7A1F63"/>
      </patternFill>
    </fill>
    <fill>
      <patternFill patternType="solid">
        <fgColor rgb="FF17212D"/>
      </patternFill>
    </fill>
    <fill>
      <patternFill patternType="solid">
        <fgColor rgb="FF344054"/>
      </patternFill>
    </fill>
    <fill>
      <patternFill patternType="solid">
        <fgColor rgb="FFD7A900"/>
      </patternFill>
    </fill>
    <fill>
      <patternFill patternType="solid">
        <fgColor rgb="FF263B73"/>
      </patternFill>
    </fill>
    <fill>
      <patternFill patternType="solid">
        <fgColor rgb="FF76519A"/>
      </patternFill>
    </fill>
    <fill>
      <patternFill patternType="solid">
        <fgColor rgb="FFF7D3D0"/>
      </patternFill>
    </fill>
    <fill>
      <patternFill patternType="solid">
        <fgColor rgb="FFED756D"/>
      </patternFill>
    </fill>
    <fill>
      <patternFill patternType="solid">
        <fgColor rgb="FFC51F36"/>
      </patternFill>
    </fill>
    <fill>
      <patternFill patternType="solid">
        <fgColor rgb="FF8E1829"/>
      </patternFill>
    </fill>
    <fill>
      <patternFill patternType="solid">
        <fgColor rgb="FFF4F1EC"/>
      </patternFill>
    </fill>
    <fill>
      <patternFill patternType="solid">
        <fgColor rgb="FFFFFFFF"/>
      </patternFill>
    </fill>
    <fill>
      <patternFill patternType="solid">
        <fgColor rgb="FF182230"/>
      </patternFill>
    </fill>
    <fill>
      <patternFill patternType="solid">
        <fgColor rgb="FF172231"/>
      </patternFill>
    </fill>
    <fill>
      <patternFill patternType="solid">
        <fgColor rgb="FFF8F6F2"/>
      </patternFill>
    </fill>
    <fill>
      <patternFill patternType="solid">
        <fgColor rgb="FFFFF1F2"/>
      </patternFill>
    </fill>
    <fill>
      <patternFill patternType="solid">
        <fgColor rgb="FF283B75"/>
      </patternFill>
    </fill>
    <fill>
      <patternFill patternType="solid">
        <fgColor rgb="FF8A1F68"/>
      </patternFill>
    </fill>
    <fill>
      <patternFill patternType="solid">
        <fgColor rgb="FFCE1F3A"/>
      </patternFill>
    </fill>
    <fill>
      <patternFill patternType="solid">
        <fgColor rgb="00172231"/>
      </patternFill>
    </fill>
    <fill>
      <patternFill patternType="solid">
        <fgColor rgb="00FAFBFC"/>
      </patternFill>
    </fill>
  </fills>
  <borders count="4">
    <border/>
    <border>
      <top style="thin">
        <color rgb="FF183F35"/>
      </top>
    </border>
    <border>
      <bottom style="thin">
        <color rgb="FFDDD8D2"/>
      </bottom>
    </border>
    <border>
      <bottom style="thin">
        <color rgb="00D9DEE7"/>
      </bottom>
    </border>
  </borders>
  <cellStyleXfs count="1">
    <xf numFmtId="0" fontId="0" fillId="0" borderId="0"/>
  </cellStyleXfs>
  <cellXfs count="96">
    <xf numFmtId="0" fontId="0" fillId="0" borderId="0" pivotButton="0" quotePrefix="0" xfId="0"/>
    <xf numFmtId="0" fontId="1" fillId="0" borderId="0" pivotButton="0" quotePrefix="0" xfId="0"/>
    <xf numFmtId="0" fontId="2" fillId="2" borderId="0" pivotButton="0" quotePrefix="0" xfId="0"/>
    <xf numFmtId="0" fontId="0" fillId="0" borderId="0" applyAlignment="1" pivotButton="0" quotePrefix="0" xfId="0">
      <alignment vertical="top" wrapText="1"/>
    </xf>
    <xf numFmtId="0" fontId="3" fillId="0" borderId="0" pivotButton="0" quotePrefix="0" xfId="0"/>
    <xf numFmtId="0" fontId="2" fillId="3" borderId="0" pivotButton="0" quotePrefix="0" xfId="0"/>
    <xf numFmtId="0" fontId="0" fillId="4" borderId="0" applyAlignment="1" pivotButton="0" quotePrefix="0" xfId="0">
      <alignment vertical="top" wrapText="1"/>
    </xf>
    <xf numFmtId="0" fontId="2" fillId="2" borderId="0" applyAlignment="1" pivotButton="0" quotePrefix="0" xfId="0">
      <alignment vertical="center" wrapText="1"/>
    </xf>
    <xf numFmtId="0" fontId="4" fillId="5"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xf numFmtId="0" fontId="4" fillId="6" borderId="0" applyAlignment="1" pivotButton="0" quotePrefix="0" xfId="0">
      <alignment vertical="top" wrapText="1"/>
    </xf>
    <xf numFmtId="0" fontId="6" fillId="0" borderId="0" pivotButton="0" quotePrefix="0" xfId="0"/>
    <xf numFmtId="0" fontId="2" fillId="2" borderId="0" applyAlignment="1" pivotButton="0" quotePrefix="0" xfId="0">
      <alignment wrapText="1"/>
    </xf>
    <xf numFmtId="0" fontId="0" fillId="7" borderId="0" pivotButton="0" quotePrefix="0" xfId="0"/>
    <xf numFmtId="0" fontId="7" fillId="7" borderId="0" pivotButton="0" quotePrefix="0" xfId="0"/>
    <xf numFmtId="0" fontId="8" fillId="7" borderId="0" pivotButton="0" quotePrefix="0" xfId="0"/>
    <xf numFmtId="9" fontId="7" fillId="7" borderId="0" pivotButton="0" quotePrefix="0" xfId="0"/>
    <xf numFmtId="0" fontId="7" fillId="0" borderId="0" pivotButton="0" quotePrefix="0" xfId="0"/>
    <xf numFmtId="0" fontId="8" fillId="0" borderId="0" pivotButton="0" quotePrefix="0" xfId="0"/>
    <xf numFmtId="9" fontId="7" fillId="0" borderId="0" pivotButton="0" quotePrefix="0" xfId="0"/>
    <xf numFmtId="0" fontId="9" fillId="0" borderId="1" pivotButton="0" quotePrefix="0" xfId="0"/>
    <xf numFmtId="0" fontId="10" fillId="0" borderId="0" applyAlignment="1" pivotButton="0" quotePrefix="0" xfId="0">
      <alignment vertical="top" wrapText="1"/>
    </xf>
    <xf numFmtId="0" fontId="0" fillId="0" borderId="0" applyAlignment="1" pivotButton="0" quotePrefix="0" xfId="0">
      <alignment wrapText="1"/>
    </xf>
    <xf numFmtId="0" fontId="23" fillId="0" borderId="0" pivotButton="0" quotePrefix="0" xfId="0"/>
    <xf numFmtId="0" fontId="11" fillId="8" borderId="0" pivotButton="0" quotePrefix="0" xfId="0"/>
    <xf numFmtId="0" fontId="12" fillId="0" borderId="0" applyAlignment="1" pivotButton="0" quotePrefix="0" xfId="0">
      <alignment vertical="top" wrapText="1"/>
    </xf>
    <xf numFmtId="0" fontId="13" fillId="9" borderId="2" applyAlignment="1" pivotButton="0" quotePrefix="0" xfId="0">
      <alignment vertical="center" wrapText="1"/>
    </xf>
    <xf numFmtId="0" fontId="14" fillId="0" borderId="2" applyAlignment="1" pivotButton="0" quotePrefix="0" xfId="0">
      <alignment vertical="top" wrapText="1"/>
    </xf>
    <xf numFmtId="0" fontId="16" fillId="10" borderId="2" applyAlignment="1" pivotButton="0" quotePrefix="0" xfId="0">
      <alignment horizontal="center" vertical="center"/>
    </xf>
    <xf numFmtId="0" fontId="16" fillId="11" borderId="2" applyAlignment="1" pivotButton="0" quotePrefix="0" xfId="0">
      <alignment horizontal="center" vertical="center"/>
    </xf>
    <xf numFmtId="0" fontId="17" fillId="12" borderId="2" applyAlignment="1" pivotButton="0" quotePrefix="0" xfId="0">
      <alignment horizontal="center" vertical="center"/>
    </xf>
    <xf numFmtId="0" fontId="18" fillId="8" borderId="0" pivotButton="0" quotePrefix="0" xfId="0"/>
    <xf numFmtId="0" fontId="19" fillId="0" borderId="2" applyAlignment="1" pivotButton="0" quotePrefix="0" xfId="0">
      <alignment vertical="center" wrapText="1"/>
    </xf>
    <xf numFmtId="0" fontId="19" fillId="0" borderId="2" applyAlignment="1" pivotButton="0" quotePrefix="0" xfId="0">
      <alignment horizontal="center" vertical="center"/>
    </xf>
    <xf numFmtId="0" fontId="20" fillId="13" borderId="2" applyAlignment="1" pivotButton="0" quotePrefix="0" xfId="0">
      <alignment horizontal="center" vertical="center"/>
    </xf>
    <xf numFmtId="0" fontId="21" fillId="0" borderId="0" applyAlignment="1" pivotButton="0" quotePrefix="0" xfId="0">
      <alignment wrapText="1"/>
    </xf>
    <xf numFmtId="0" fontId="13" fillId="9" borderId="0" pivotButton="0" quotePrefix="0" xfId="0"/>
    <xf numFmtId="0" fontId="22" fillId="0" borderId="0" pivotButton="0" quotePrefix="0" xfId="0"/>
    <xf numFmtId="0" fontId="24" fillId="14" borderId="0" pivotButton="0" quotePrefix="0" xfId="0"/>
    <xf numFmtId="0" fontId="25" fillId="0" borderId="0" applyAlignment="1" pivotButton="0" quotePrefix="0" xfId="0">
      <alignment vertical="top" wrapText="1"/>
    </xf>
    <xf numFmtId="0" fontId="26" fillId="15" borderId="0" pivotButton="0" quotePrefix="0" xfId="0"/>
    <xf numFmtId="0" fontId="27" fillId="16" borderId="0" applyAlignment="1" pivotButton="0" quotePrefix="0" xfId="0">
      <alignment vertical="center"/>
    </xf>
    <xf numFmtId="0" fontId="25" fillId="0" borderId="0" applyAlignment="1" pivotButton="0" quotePrefix="0" xfId="0">
      <alignment vertical="center" wrapText="1"/>
    </xf>
    <xf numFmtId="0" fontId="2" fillId="14" borderId="0" applyAlignment="1" pivotButton="0" quotePrefix="0" xfId="0">
      <alignment vertical="center" wrapText="1"/>
    </xf>
    <xf numFmtId="0" fontId="2" fillId="17" borderId="0" applyAlignment="1" pivotButton="0" quotePrefix="0" xfId="0">
      <alignment vertical="center" wrapText="1"/>
    </xf>
    <xf numFmtId="0" fontId="2" fillId="18" borderId="0" applyAlignment="1" pivotButton="0" quotePrefix="0" xfId="0">
      <alignment vertical="center" wrapText="1"/>
    </xf>
    <xf numFmtId="0" fontId="2" fillId="19" borderId="0" applyAlignment="1" pivotButton="0" quotePrefix="0" xfId="0">
      <alignment vertical="center" wrapText="1"/>
    </xf>
    <xf numFmtId="0" fontId="28" fillId="20" borderId="0" applyAlignment="1" pivotButton="0" quotePrefix="0" xfId="0">
      <alignment vertical="center" wrapText="1"/>
    </xf>
    <xf numFmtId="0" fontId="2" fillId="21" borderId="0" applyAlignment="1" pivotButton="0" quotePrefix="0" xfId="0">
      <alignment vertical="center" wrapText="1"/>
    </xf>
    <xf numFmtId="0" fontId="2" fillId="22" borderId="0" applyAlignment="1" pivotButton="0" quotePrefix="0" xfId="0">
      <alignment vertical="center" wrapText="1"/>
    </xf>
    <xf numFmtId="0" fontId="2" fillId="23" borderId="0" applyAlignment="1" pivotButton="0" quotePrefix="0" xfId="0">
      <alignment vertical="center" wrapText="1"/>
    </xf>
    <xf numFmtId="0" fontId="28" fillId="24" borderId="0" applyAlignment="1" pivotButton="0" quotePrefix="0" xfId="0">
      <alignment vertical="center" wrapText="1"/>
    </xf>
    <xf numFmtId="0" fontId="28" fillId="25" borderId="0" applyAlignment="1" pivotButton="0" quotePrefix="0" xfId="0">
      <alignment vertical="center" wrapText="1"/>
    </xf>
    <xf numFmtId="0" fontId="2" fillId="26" borderId="0" applyAlignment="1" pivotButton="0" quotePrefix="0" xfId="0">
      <alignment vertical="center" wrapText="1"/>
    </xf>
    <xf numFmtId="0" fontId="29" fillId="0" borderId="0" pivotButton="0" quotePrefix="0" xfId="0"/>
    <xf numFmtId="0" fontId="25" fillId="0" borderId="0" pivotButton="0" quotePrefix="0" xfId="0"/>
    <xf numFmtId="0" fontId="30" fillId="27" borderId="0" applyAlignment="1" pivotButton="0" quotePrefix="0" xfId="0">
      <alignment vertical="center"/>
    </xf>
    <xf numFmtId="0" fontId="31" fillId="28" borderId="0" pivotButton="0" quotePrefix="0" xfId="0"/>
    <xf numFmtId="0" fontId="0" fillId="28" borderId="0" applyAlignment="1" pivotButton="0" quotePrefix="0" xfId="0">
      <alignment vertical="top" wrapText="1"/>
    </xf>
    <xf numFmtId="0" fontId="0" fillId="28" borderId="0" pivotButton="0" quotePrefix="0" xfId="0"/>
    <xf numFmtId="0" fontId="31" fillId="0" borderId="0" pivotButton="0" quotePrefix="0" xfId="0"/>
    <xf numFmtId="0" fontId="2" fillId="27" borderId="0" applyAlignment="1" pivotButton="0" quotePrefix="0" xfId="0">
      <alignment vertical="center" wrapText="1"/>
    </xf>
    <xf numFmtId="0" fontId="32" fillId="0" borderId="0" applyAlignment="1" pivotButton="0" quotePrefix="0" xfId="0">
      <alignment vertical="top" wrapText="1"/>
    </xf>
    <xf numFmtId="164" fontId="4" fillId="0" borderId="0" applyAlignment="1" pivotButton="0" quotePrefix="0" xfId="0">
      <alignment vertical="top" wrapText="1"/>
    </xf>
    <xf numFmtId="0" fontId="33" fillId="0" borderId="0" applyAlignment="1" pivotButton="0" quotePrefix="0" xfId="0">
      <alignment vertical="top" wrapText="1"/>
    </xf>
    <xf numFmtId="0" fontId="0" fillId="29" borderId="0" applyAlignment="1" pivotButton="0" quotePrefix="0" xfId="0">
      <alignment vertical="top" wrapText="1"/>
    </xf>
    <xf numFmtId="0" fontId="34" fillId="0" borderId="0" applyAlignment="1" pivotButton="0" quotePrefix="0" xfId="0">
      <alignment vertical="top" wrapText="1"/>
    </xf>
    <xf numFmtId="165" fontId="0" fillId="0" borderId="0" applyAlignment="1" pivotButton="0" quotePrefix="0" xfId="0">
      <alignment vertical="top" wrapText="1"/>
    </xf>
    <xf numFmtId="0" fontId="38" fillId="0" borderId="0" applyAlignment="1" pivotButton="0" quotePrefix="0" xfId="0">
      <alignment vertical="top" wrapText="1"/>
    </xf>
    <xf numFmtId="0" fontId="35" fillId="27" borderId="0" applyAlignment="1" pivotButton="0" quotePrefix="0" xfId="0">
      <alignment vertical="center"/>
    </xf>
    <xf numFmtId="0" fontId="36" fillId="0" borderId="0" applyAlignment="1" pivotButton="0" quotePrefix="0" xfId="0">
      <alignment vertical="top" wrapText="1"/>
    </xf>
    <xf numFmtId="0" fontId="2" fillId="30" borderId="0" applyAlignment="1" pivotButton="0" quotePrefix="0" xfId="0">
      <alignment vertical="top" wrapText="1"/>
    </xf>
    <xf numFmtId="0" fontId="37" fillId="0" borderId="0" applyAlignment="1" pivotButton="0" quotePrefix="0" xfId="0">
      <alignment vertical="top" wrapText="1"/>
    </xf>
    <xf numFmtId="0" fontId="2" fillId="31" borderId="0" applyAlignment="1" pivotButton="0" quotePrefix="0" xfId="0">
      <alignment vertical="top" wrapText="1"/>
    </xf>
    <xf numFmtId="0" fontId="2" fillId="32" borderId="0" applyAlignment="1" pivotButton="0" quotePrefix="0" xfId="0">
      <alignment vertical="top" wrapText="1"/>
    </xf>
    <xf numFmtId="0" fontId="2" fillId="27" borderId="0" applyAlignment="1" pivotButton="0" quotePrefix="0" xfId="0">
      <alignment wrapText="1"/>
    </xf>
    <xf numFmtId="0" fontId="31" fillId="28" borderId="0" applyAlignment="1" pivotButton="0" quotePrefix="0" xfId="0">
      <alignment vertical="top" wrapText="1"/>
    </xf>
    <xf numFmtId="0" fontId="31" fillId="0" borderId="0" applyAlignment="1" pivotButton="0" quotePrefix="0" xfId="0">
      <alignment vertical="top" wrapText="1"/>
    </xf>
    <xf numFmtId="0" fontId="46" fillId="0" borderId="0" pivotButton="0" quotePrefix="0" xfId="0"/>
    <xf numFmtId="0" fontId="39" fillId="33" borderId="0" applyAlignment="1" pivotButton="0" quotePrefix="0" xfId="0">
      <alignment wrapText="1"/>
    </xf>
    <xf numFmtId="0" fontId="40" fillId="33" borderId="0" applyAlignment="1" pivotButton="0" quotePrefix="0" xfId="0">
      <alignment vertical="center"/>
    </xf>
    <xf numFmtId="0" fontId="41" fillId="33" borderId="0" applyAlignment="1" pivotButton="0" quotePrefix="0" xfId="0">
      <alignment vertical="center" wrapText="1"/>
    </xf>
    <xf numFmtId="0" fontId="0" fillId="34" borderId="3" applyAlignment="1" pivotButton="0" quotePrefix="0" xfId="0">
      <alignment vertical="top" wrapText="1"/>
    </xf>
    <xf numFmtId="0" fontId="0" fillId="0" borderId="3" applyAlignment="1" pivotButton="0" quotePrefix="0" xfId="0">
      <alignment vertical="top" wrapText="1"/>
    </xf>
    <xf numFmtId="0" fontId="42" fillId="0" borderId="0" pivotButton="0" quotePrefix="0" xfId="0"/>
    <xf numFmtId="166" fontId="43" fillId="0" borderId="3" applyAlignment="1" pivotButton="0" quotePrefix="0" xfId="0">
      <alignment vertical="top" wrapText="1"/>
    </xf>
    <xf numFmtId="167" fontId="0" fillId="0" borderId="3" applyAlignment="1" pivotButton="0" quotePrefix="0" xfId="0">
      <alignment vertical="top" wrapText="1"/>
    </xf>
    <xf numFmtId="166" fontId="44" fillId="0" borderId="3" applyAlignment="1" pivotButton="0" quotePrefix="0" xfId="0">
      <alignment vertical="top" wrapText="1"/>
    </xf>
    <xf numFmtId="166" fontId="0" fillId="0" borderId="3" applyAlignment="1" pivotButton="0" quotePrefix="0" xfId="0">
      <alignment vertical="top" wrapText="1"/>
    </xf>
    <xf numFmtId="166" fontId="0" fillId="34" borderId="3" applyAlignment="1" pivotButton="0" quotePrefix="0" xfId="0">
      <alignment vertical="top" wrapText="1"/>
    </xf>
    <xf numFmtId="167" fontId="45" fillId="34" borderId="3" applyAlignment="1" pivotButton="0" quotePrefix="0" xfId="0">
      <alignment vertical="top" wrapText="1"/>
    </xf>
    <xf numFmtId="166" fontId="44" fillId="34" borderId="3" applyAlignment="1" pivotButton="0" quotePrefix="0" xfId="0">
      <alignment vertical="top" wrapText="1"/>
    </xf>
    <xf numFmtId="167" fontId="45" fillId="0" borderId="3" applyAlignment="1" pivotButton="0" quotePrefix="0" xfId="0">
      <alignment vertical="top" wrapText="1"/>
    </xf>
    <xf numFmtId="167" fontId="0" fillId="34" borderId="3" applyAlignment="1" pivotButton="0" quotePrefix="0" xfId="0">
      <alignment vertical="top" wrapText="1"/>
    </xf>
    <xf numFmtId="166" fontId="43" fillId="34" borderId="3" applyAlignment="1" pivotButton="0" quotePrefix="0" xfId="0">
      <alignment vertical="top" wrapText="1"/>
    </xf>
  </cellXfs>
  <cellStyles count="1">
    <cellStyle name="Normal" xfId="0"/>
  </cellStyles>
  <dxfs count="4">
    <dxf>
      <fill>
        <patternFill>
          <bgColor rgb="00F5F2EE"/>
        </patternFill>
      </fill>
    </dxf>
    <dxf>
      <fill>
        <patternFill>
          <bgColor rgb="00F5C6DC"/>
        </patternFill>
      </fill>
    </dxf>
    <dxf>
      <fill>
        <patternFill>
          <bgColor rgb="00F05F9D"/>
        </patternFill>
      </fill>
    </dxf>
    <dxf>
      <fill>
        <patternFill>
          <bgColor rgb="00D60073"/>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charts/chart1.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r>
              <a:rPr/>
              <a:t>Late-stage program footprint by normalized area</a:t>
            </a:r>
          </a:p>
        </rich>
      </tx>
      <overlay val="0"/>
    </title>
    <plotArea>
      <layout/>
      <barChart>
        <barDir val="col"/>
        <grouping val="stacked"/>
        <varyColors val="0"/>
        <ser>
          <idx val="0"/>
          <order val="0"/>
          <tx>
            <strRef>
              <f>'Summary'!B3</f>
              <strCache>
                <ptCount val="1"/>
                <pt idx="0">
                  <v>None</v>
                </pt>
              </strCache>
            </strRef>
          </tx>
          <spPr>
            <a:solidFill xmlns:a="http://schemas.openxmlformats.org/drawingml/2006/main">
              <a:srgbClr val="7A1F63"/>
            </a:solidFill>
            <a:ln xmlns:a="http://schemas.openxmlformats.org/drawingml/2006/main">
              <a:solidFill>
                <a:srgbClr val="7A1F63"/>
              </a:solidFill>
              <a:prstDash val="solid"/>
            </a:ln>
          </spPr>
          <cat>
            <strRef>
              <f>'Summary'!$A$4:$A$11</f>
              <strCache>
                <ptCount val="0"/>
              </strCache>
            </strRef>
          </cat>
          <val>
            <numRef>
              <f>'Summary'!$B$4:$B$11</f>
              <numCache>
                <formatCode>General</formatCode>
                <ptCount val="0"/>
              </numCache>
            </numRef>
          </val>
        </ser>
        <ser>
          <idx val="1"/>
          <order val="1"/>
          <tx>
            <strRef>
              <f>'Summary'!C3</f>
              <strCache>
                <ptCount val="1"/>
                <pt idx="0">
                  <v>None</v>
                </pt>
              </strCache>
            </strRef>
          </tx>
          <spPr>
            <a:solidFill xmlns:a="http://schemas.openxmlformats.org/drawingml/2006/main">
              <a:srgbClr val="263B73"/>
            </a:solidFill>
            <a:ln xmlns:a="http://schemas.openxmlformats.org/drawingml/2006/main">
              <a:solidFill>
                <a:srgbClr val="263B73"/>
              </a:solidFill>
              <a:prstDash val="solid"/>
            </a:ln>
          </spPr>
          <cat>
            <strRef>
              <f>'Summary'!$A$4:$A$11</f>
              <strCache>
                <ptCount val="0"/>
              </strCache>
            </strRef>
          </cat>
          <val>
            <numRef>
              <f>'Summary'!$C$4:$C$11</f>
              <numCache>
                <formatCode>General</formatCode>
                <ptCount val="0"/>
              </numCache>
            </numRef>
          </val>
        </ser>
        <dLbls>
          <showLegendKey val="0"/>
          <showVal val="1"/>
          <showCatName val="0"/>
          <showSerName val="0"/>
          <showPercent val="0"/>
          <showBubbleSize val="0"/>
          <showLeaderLines val="0"/>
        </dLbls>
        <gapWidth val="150"/>
        <overlap val="100"/>
        <axId val="48650112"/>
        <axId val="48672768"/>
      </barChart>
      <catAx>
        <axId val="48650112"/>
        <scaling>
          <orientation val="minMax"/>
        </scaling>
        <delete val="0"/>
        <axPos val="l"/>
        <numFmt formatCode="General" sourceLinked="0"/>
        <majorTickMark val="none"/>
        <minorTickMark val="none"/>
        <crossAx val="48672768"/>
        <crosses val="autoZero"/>
        <lblAlgn val="ctr"/>
        <lblOffset val="100"/>
        <noMultiLvlLbl val="0"/>
      </catAx>
      <valAx>
        <axId val="48672768"/>
        <scaling>
          <orientation val="minMax"/>
        </scaling>
        <delete val="0"/>
        <axPos val="l"/>
        <title>
          <tx>
            <rich>
              <a:bodyPr xmlns:a="http://schemas.openxmlformats.org/drawingml/2006/main"/>
              <a:lstStyle xmlns:a="http://schemas.openxmlformats.org/drawingml/2006/main"/>
              <a:p xmlns:a="http://schemas.openxmlformats.org/drawingml/2006/main">
                <a:r>
                  <a:rPr/>
                  <a:t>Programs</a:t>
                </a:r>
              </a:p>
            </rich>
          </tx>
          <overlay val="0"/>
        </title>
        <numFmt formatCode="General" sourceLinked="0"/>
        <majorTickMark val="none"/>
        <minorTickMark val="none"/>
        <crossAx val="48650112"/>
        <crosses val="autoZero"/>
        <crossBetween val="between"/>
      </valAx>
    </plotArea>
    <legend>
      <legendPos val="b"/>
      <overlay val="0"/>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_rels/drawing2.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oneCellAnchor>
    <from>
      <col>7</col>
      <colOff>0</colOff>
      <row>2</row>
      <rowOff>0</rowOff>
    </from>
    <ext cx="6480000" cy="32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2.xml><?xml version="1.0" encoding="utf-8"?>
<wsDr xmlns="http://schemas.openxmlformats.org/drawingml/2006/spreadsheetDrawing">
  <oneCellAnchor>
    <from>
      <col>0</col>
      <colOff>0</colOff>
      <row>3</row>
      <rowOff>0</rowOff>
    </from>
    <ext cx="8229600" cy="10287000"/>
    <pic>
      <nvPicPr>
        <cNvPr id="1" name="/xl/media/image1.png"/>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tables/table1.xml><?xml version="1.0" encoding="utf-8"?>
<table xmlns="http://schemas.openxmlformats.org/spreadsheetml/2006/main" id="1" name="FitCollisionMatrix" displayName="FitCollisionMatrix" ref="A4:J71" headerRowCount="1">
  <autoFilter ref="A4:J71"/>
  <tableColumns count="10">
    <tableColumn id="1" name="Disease area"/>
    <tableColumn id="2" name="Modality family"/>
    <tableColumn id="3" name="Indication territory"/>
    <tableColumn id="4" name="Status"/>
    <tableColumn id="5" name="AZ count"/>
    <tableColumn id="6" name="BMS count"/>
    <tableColumn id="7" name="AZ programs"/>
    <tableColumn id="8" name="BMS programs"/>
    <tableColumn id="9" name="AZ source"/>
    <tableColumn id="10" name="BMS source"/>
  </tableColumns>
  <tableStyleInfo name="TableStyleMedium2" showRowStripes="1"/>
</table>
</file>

<file path=xl/tables/table2.xml><?xml version="1.0" encoding="utf-8"?>
<table xmlns="http://schemas.openxmlformats.org/spreadsheetml/2006/main" id="2" name="MatrixProgramMap" displayName="MatrixProgramMap" ref="A1:F83" headerRowCount="1">
  <autoFilter ref="A1:F83"/>
  <tableColumns count="6">
    <tableColumn id="1" name="Company"/>
    <tableColumn id="2" name="Disease area"/>
    <tableColumn id="3" name="Program"/>
    <tableColumn id="4" name="Normalized modality family"/>
    <tableColumn id="5" name="Normalized indication territory"/>
    <tableColumn id="6" name="Source URL"/>
  </tableColumns>
  <tableStyleInfo name="TableStyleMedium2" showRowStripes="1"/>
</table>
</file>

<file path=xl/tables/table3.xml><?xml version="1.0" encoding="utf-8"?>
<table xmlns="http://schemas.openxmlformats.org/spreadsheetml/2006/main" id="3" name="ProgramDetailsTable" displayName="ProgramDetailsTable" ref="A1:V20" headerRowCount="1">
  <autoFilter ref="A1:V20"/>
  <tableColumns count="22">
    <tableColumn id="1" name="Disease area"/>
    <tableColumn id="2" name="Overlap indication"/>
    <tableColumn id="3" name="Company"/>
    <tableColumn id="4" name="Program"/>
    <tableColumn id="5" name="Pipeline stage"/>
    <tableColumn id="6" name="Representative modality / mechanism"/>
    <tableColumn id="7" name="ClinicalTrials.gov ID"/>
    <tableColumn id="8" name="Representative trial"/>
    <tableColumn id="9" name="Potential launch indication (analyst scenario)"/>
    <tableColumn id="10" name="Clinical setting / line of therapy"/>
    <tableColumn id="11" name="Primary completion date"/>
    <tableColumn id="12" name="Primary completion year"/>
    <tableColumn id="13" name="Launch lag - low (years)"/>
    <tableColumn id="14" name="Launch lag - high (years)"/>
    <tableColumn id="15" name="Illustrative launch start"/>
    <tableColumn id="16" name="Illustrative launch end"/>
    <tableColumn id="17" name="Illustrative launch window"/>
    <tableColumn id="18" name="Historical sales of asset"/>
    <tableColumn id="19" name="Commercial benchmark IDs"/>
    <tableColumn id="20" name="Trial URL"/>
    <tableColumn id="21" name="Pipeline source URL"/>
    <tableColumn id="22" name="Notes"/>
  </tableColumns>
  <tableStyleInfo name="TableStyleMedium2" showRowStripes="1"/>
</table>
</file>

<file path=xl/tables/table4.xml><?xml version="1.0" encoding="utf-8"?>
<table xmlns="http://schemas.openxmlformats.org/spreadsheetml/2006/main" id="4" name="CommercialBenchmarksTable" displayName="CommercialBenchmarksTable" ref="A1:O7" headerRowCount="1">
  <autoFilter ref="A1:O7"/>
  <tableColumns count="15">
    <tableColumn id="1" name="Benchmark ID"/>
    <tableColumn id="2" name="Disease area"/>
    <tableColumn id="3" name="Overlap indication"/>
    <tableColumn id="4" name="Product"/>
    <tableColumn id="5" name="Company"/>
    <tableColumn id="6" name="Year"/>
    <tableColumn id="7" name="US revenue ($m)"/>
    <tableColumn id="8" name="Emerging Markets revenue ($m)"/>
    <tableColumn id="9" name="Europe revenue ($m)"/>
    <tableColumn id="10" name="Established ROW revenue ($m)"/>
    <tableColumn id="11" name="Worldwide revenue ($m)"/>
    <tableColumn id="12" name="Sales basis"/>
    <tableColumn id="13" name="Relevance"/>
    <tableColumn id="14" name="Limitations"/>
    <tableColumn id="15" name="Source URL"/>
  </tableColumns>
  <tableStyleInfo name="TableStyleMedium4" showRowStripes="1"/>
</table>
</file>

<file path=xl/tables/table5.xml><?xml version="1.0" encoding="utf-8"?>
<table xmlns="http://schemas.openxmlformats.org/spreadsheetml/2006/main" id="5" name="WebsiteExportTable" displayName="WebsiteExportTable" ref="A1:J33" headerRowCount="1">
  <autoFilter ref="A1:J33"/>
  <tableColumns count="10">
    <tableColumn id="1" name="Cell ID"/>
    <tableColumn id="2" name="Disease area"/>
    <tableColumn id="3" name="Plot label"/>
    <tableColumn id="4" name="Factor"/>
    <tableColumn id="5" name="Overlap count"/>
    <tableColumn id="6" name="Directness"/>
    <tableColumn id="7" name="AZ programs"/>
    <tableColumn id="8" name="BMS programs"/>
    <tableColumn id="9" name="Relationship"/>
    <tableColumn id="10" name="Overlap units"/>
  </tableColumns>
  <tableStyleInfo name="TableStyleMedium9" showRowStripes="1"/>
</table>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8.xml.rels><Relationships xmlns="http://schemas.openxmlformats.org/package/2006/relationships"><Relationship Type="http://schemas.openxmlformats.org/officeDocument/2006/relationships/drawing" Target="/xl/drawings/drawing1.xml" Id="rId1"/></Relationships>
</file>

<file path=xl/worksheets/_rels/sheet11.xml.rels><Relationships xmlns="http://schemas.openxmlformats.org/package/2006/relationships"><Relationship Type="http://schemas.openxmlformats.org/officeDocument/2006/relationships/drawing" Target="/xl/drawings/drawing2.xml" Id="rId1"/></Relationships>
</file>

<file path=xl/worksheets/_rels/sheet12.xml.rels><Relationships xmlns="http://schemas.openxmlformats.org/package/2006/relationships"><Relationship Type="http://schemas.openxmlformats.org/officeDocument/2006/relationships/table" Target="/xl/tables/table1.xml" Id="rId1"/></Relationships>
</file>

<file path=xl/worksheets/_rels/sheet13.xml.rels><Relationships xmlns="http://schemas.openxmlformats.org/package/2006/relationships"><Relationship Type="http://schemas.openxmlformats.org/officeDocument/2006/relationships/table" Target="/xl/tables/table2.xml" Id="rId1"/></Relationships>
</file>

<file path=xl/worksheets/_rels/sheet14.xml.rels><Relationships xmlns="http://schemas.openxmlformats.org/package/2006/relationships"><Relationship Type="http://schemas.openxmlformats.org/officeDocument/2006/relationships/table" Target="/xl/tables/table3.xml" Id="rId1"/></Relationships>
</file>

<file path=xl/worksheets/_rels/sheet15.xml.rels><Relationships xmlns="http://schemas.openxmlformats.org/package/2006/relationships"><Relationship Type="http://schemas.openxmlformats.org/officeDocument/2006/relationships/table" Target="/xl/tables/table4.xml" Id="rId1"/></Relationships>
</file>

<file path=xl/worksheets/_rels/sheet16.xml.rels><Relationships xmlns="http://schemas.openxmlformats.org/package/2006/relationships"><Relationship Type="http://schemas.openxmlformats.org/officeDocument/2006/relationships/table" Target="/xl/tables/table5.xml" Id="rId1"/></Relationships>
</file>

<file path=xl/worksheets/sheet1.xml><?xml version="1.0" encoding="utf-8"?>
<worksheet xmlns="http://schemas.openxmlformats.org/spreadsheetml/2006/main">
  <sheetPr>
    <outlinePr summaryBelow="1" summaryRight="1"/>
    <pageSetUpPr/>
  </sheetPr>
  <dimension ref="A1:H13"/>
  <sheetViews>
    <sheetView showGridLines="0" workbookViewId="0">
      <selection activeCell="A1" sqref="A1"/>
    </sheetView>
  </sheetViews>
  <sheetFormatPr baseColWidth="8" defaultRowHeight="15"/>
  <cols>
    <col width="32" customWidth="1" min="1" max="1"/>
    <col width="115" customWidth="1" min="2" max="2"/>
    <col width="18" customWidth="1" min="3" max="3"/>
    <col width="18" customWidth="1" min="4" max="4"/>
    <col width="18" customWidth="1" min="5" max="5"/>
    <col width="18" customWidth="1" min="6" max="6"/>
    <col width="18" customWidth="1" min="7" max="7"/>
    <col width="18" customWidth="1" min="8" max="8"/>
  </cols>
  <sheetData>
    <row r="1" ht="34" customHeight="1">
      <c r="A1" s="57" t="inlineStr">
        <is>
          <t>Interactive website package - data and methodology</t>
        </is>
      </c>
    </row>
    <row r="3" ht="42" customHeight="1">
      <c r="A3" s="77" t="inlineStr">
        <is>
          <t>Package purpose</t>
        </is>
      </c>
      <c r="B3" s="59" t="inlineStr">
        <is>
          <t>Back-up data for the GitHub Pages website. The interactive chart links each overlap bubble to the exact overlap units and relevant programs.</t>
        </is>
      </c>
    </row>
    <row r="4" ht="42" customHeight="1">
      <c r="A4" s="78" t="inlineStr">
        <is>
          <t>Matched portfolio snapshot</t>
        </is>
      </c>
      <c r="B4" s="3" t="inlineStr">
        <is>
          <t>AstraZeneca 10 Feb 2026 and BMS 5 Feb 2026 pipeline disclosures.</t>
        </is>
      </c>
    </row>
    <row r="5" ht="42" customHeight="1">
      <c r="A5" s="77" t="inlineStr">
        <is>
          <t>Late-stage program definition</t>
        </is>
      </c>
      <c r="B5" s="59" t="inlineStr">
        <is>
          <t>Unique lead investigational asset in Phase II or Phase III/pivotal/registration development; approved-indication expansions and major lifecycle-management programs excluded from the core count.</t>
        </is>
      </c>
    </row>
    <row r="6" ht="42" customHeight="1">
      <c r="A6" s="78" t="inlineStr">
        <is>
          <t>Overlap count definition</t>
        </is>
      </c>
      <c r="B6" s="3" t="inlineStr">
        <is>
          <t>Number of distinct shared indication territories, modality classes, target/mechanism themes, or development-stage bands - not all possible AZ-BMS asset-pair permutations.</t>
        </is>
      </c>
    </row>
    <row r="7" ht="42" customHeight="1">
      <c r="A7" s="77" t="inlineStr">
        <is>
          <t>Launch window</t>
        </is>
      </c>
      <c r="B7" s="59" t="inlineStr">
        <is>
          <t>Illustrative analyst scenario calculated from trial primary-completion year plus a stage-specific lag. It is not company guidance, a probability-adjusted forecast, or a regulatory prediction.</t>
        </is>
      </c>
    </row>
    <row r="8" ht="42" customHeight="1">
      <c r="A8" s="78" t="inlineStr">
        <is>
          <t>Historical sales</t>
        </is>
      </c>
      <c r="B8" s="3" t="inlineStr">
        <is>
          <t>Investigational assets have no historical sales. The Commercial_Benchmarks sheet provides company-reported brand revenue for scale context; figures are generally not indication-specific.</t>
        </is>
      </c>
    </row>
    <row r="9" ht="42" customHeight="1">
      <c r="A9" s="77" t="inlineStr">
        <is>
          <t>Website deployment</t>
        </is>
      </c>
      <c r="B9" s="59" t="inlineStr">
        <is>
          <t>Upload the package contents to a GitHub repository and enable GitHub Pages from the main branch / root folder. No build step is required.</t>
        </is>
      </c>
    </row>
    <row r="10" ht="12" customHeight="1">
      <c r="A10" s="3" t="n"/>
      <c r="B10" s="3" t="n"/>
    </row>
    <row r="11" ht="70" customHeight="1">
      <c r="A11" s="78" t="inlineStr">
        <is>
          <t>Fit-vs-collision matrix</t>
        </is>
      </c>
      <c r="B11" s="69" t="inlineStr">
        <is>
          <t>Analyst-normalized indication-territory × modality-family map. AZ-only/BMS-only cells show complementarity; overlap cells show collision. The map does not capture earlier-stage, marketed or undisclosed programs.</t>
        </is>
      </c>
    </row>
    <row r="13">
      <c r="A13" s="79" t="inlineStr">
        <is>
          <t>v4 update</t>
        </is>
      </c>
      <c r="B13" s="3" t="inlineStr">
        <is>
          <t>Program rows now show approved brands or marketed components where available. Sales trend cards separate reported history (solid) from analyst projections (dashed), with disclosed patent / exclusivity events reflected in the scenarios.</t>
        </is>
      </c>
    </row>
  </sheetData>
  <mergeCells count="8">
    <mergeCell ref="B8:H8"/>
    <mergeCell ref="B9:H9"/>
    <mergeCell ref="B4:H4"/>
    <mergeCell ref="B6:H6"/>
    <mergeCell ref="B7:H7"/>
    <mergeCell ref="A1:H1"/>
    <mergeCell ref="B3:H3"/>
    <mergeCell ref="B5:H5"/>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F29"/>
  <sheetViews>
    <sheetView showGridLines="0"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s>
  <sheetData>
    <row r="1">
      <c r="A1" s="1" t="inlineStr">
        <is>
          <t>AstraZeneca + BMS: Portfolio Fit—or Collision?</t>
        </is>
      </c>
    </row>
    <row r="3">
      <c r="A3" s="2" t="inlineStr">
        <is>
          <t>Purpose</t>
        </is>
      </c>
    </row>
    <row r="4">
      <c r="A4" s="3" t="inlineStr">
        <is>
          <t>Backup workbook for a LinkedIn post examining where AstraZeneca and Bristol Myers Squibb have overlapping versus complementary late-stage R&amp;D portfolios.</t>
        </is>
      </c>
    </row>
    <row r="5"/>
    <row r="7">
      <c r="A7" s="2" t="inlineStr">
        <is>
          <t>Headline findings</t>
        </is>
      </c>
    </row>
    <row r="8" ht="34" customHeight="1">
      <c r="A8" s="3" t="inlineStr">
        <is>
          <t>1. The shared areas contain 41 of 62 mapped programs (66%), concentrated in solid-tumor oncology, hematology, immunology/respiratory/fibrosis and cardiovascular disease.</t>
        </is>
      </c>
    </row>
    <row r="9" ht="34" customHeight="1">
      <c r="A9" s="3" t="inlineStr">
        <is>
          <t>2. Oncology is the clearest collision zone: 18 solid-tumor programs plus 8 hematology programs across the two companies.</t>
        </is>
      </c>
    </row>
    <row r="10" ht="34" customHeight="1">
      <c r="A10" s="3" t="inlineStr">
        <is>
          <t>3. Complementarity is strongest outside oncology: AstraZeneca adds rare disease, renal/metabolic and infectious-disease breadth; BMS adds a distinct neuroscience foothold.</t>
        </is>
      </c>
    </row>
    <row r="11" ht="34" customHeight="1">
      <c r="A11" s="3" t="inlineStr">
        <is>
          <t>4. Counts show portfolio breadth—not program quality, probability of success, revenue potential, target-level duplication or antitrust risk.</t>
        </is>
      </c>
    </row>
    <row r="14">
      <c r="A14" s="2" t="inlineStr">
        <is>
          <t>Methodology</t>
        </is>
      </c>
    </row>
    <row r="15" ht="32" customHeight="1">
      <c r="A15" s="4" t="inlineStr">
        <is>
          <t>Snapshot dates</t>
        </is>
      </c>
      <c r="B15" s="3" t="inlineStr">
        <is>
          <t>AstraZeneca: 10 Feb 2026; BMS: 5 Feb 2026. Matching annual-report snapshots were used to improve comparability.</t>
        </is>
      </c>
    </row>
    <row r="16" ht="32" customHeight="1">
      <c r="A16" s="4" t="inlineStr">
        <is>
          <t>Included</t>
        </is>
      </c>
      <c r="B16" s="3" t="inlineStr">
        <is>
          <t>Lead investigational assets or disclosed lead programs in Phase II or Phase III/pivotal/registration.</t>
        </is>
      </c>
    </row>
    <row r="17" ht="32" customHeight="1">
      <c r="A17" s="4" t="inlineStr">
        <is>
          <t>Excluded</t>
        </is>
      </c>
      <c r="B17" s="3" t="inlineStr">
        <is>
          <t>Approved indications, additional indications for marketed products, and AstraZeneca significant life-cycle-management tables.</t>
        </is>
      </c>
    </row>
    <row r="18" ht="44" customHeight="1">
      <c r="A18" s="4" t="inlineStr">
        <is>
          <t>Deduplication</t>
        </is>
      </c>
      <c r="B18" s="3" t="inlineStr">
        <is>
          <t>The same lead asset is counted once at its highest disclosed phase; multiple indications and combinations are consolidated under the lead investigational asset.</t>
        </is>
      </c>
    </row>
    <row r="19" ht="44" customHeight="1">
      <c r="A19" s="4" t="inlineStr">
        <is>
          <t>Normalization</t>
        </is>
      </c>
      <c r="B19" s="3" t="inlineStr">
        <is>
          <t>Company therapy areas were harmonized into eight cross-company categories. AstraZeneca oncology assets were classified as solid-tumor oncology or hematology based on disclosed areas under investigation.</t>
        </is>
      </c>
    </row>
    <row r="20" ht="44" customHeight="1">
      <c r="A20" s="4" t="inlineStr">
        <is>
          <t>Interpretation</t>
        </is>
      </c>
      <c r="B20" s="3" t="inlineStr">
        <is>
          <t>A “shared” category means both companies have late-stage activity in the broad therapeutic area; it does not prove direct mechanism, indication or asset duplication.</t>
        </is>
      </c>
    </row>
    <row r="23">
      <c r="A23" s="5" t="inlineStr">
        <is>
          <t>Important current-event caveat</t>
        </is>
      </c>
    </row>
    <row r="24">
      <c r="A24" s="6" t="inlineStr">
        <is>
          <t>Reuters reported on Aug. 5, 2026 that a senior source said there were no ongoing discussions between the companies. The analysis is therefore framed as a portfolio thought experiment, not an announced transaction.</t>
        </is>
      </c>
    </row>
    <row r="25"/>
    <row r="27">
      <c r="A27" s="39" t="inlineStr">
        <is>
          <t>Stacked-footprint + count-based lollipop update</t>
        </is>
      </c>
    </row>
    <row r="28" ht="42" customHeight="1">
      <c r="A28" s="40" t="inlineStr">
        <is>
          <t>The chart restores the stacked late-stage program bars above each disease area. AstraZeneca and BMS use logo-inspired company colors; bubble size and number show distinct overlap count, while red tone shows analyst-coded directness. Portfolio balance remains excluded.</t>
        </is>
      </c>
    </row>
    <row r="29" ht="32" customHeight="1">
      <c r="A29" s="40" t="inlineStr">
        <is>
          <t>Reproduction: the Plot_Data tab feeds the R and Python scripts; the Visual_Settings tab records the exact palette and visual encodings.</t>
        </is>
      </c>
    </row>
  </sheetData>
  <mergeCells count="19">
    <mergeCell ref="B16:F16"/>
    <mergeCell ref="A27:F27"/>
    <mergeCell ref="A3:F3"/>
    <mergeCell ref="B18:F18"/>
    <mergeCell ref="A14:F14"/>
    <mergeCell ref="A23:F23"/>
    <mergeCell ref="A8:F8"/>
    <mergeCell ref="A24:F25"/>
    <mergeCell ref="B17:F17"/>
    <mergeCell ref="A29:F29"/>
    <mergeCell ref="A10:F10"/>
    <mergeCell ref="A28:F28"/>
    <mergeCell ref="A9:F9"/>
    <mergeCell ref="B19:F19"/>
    <mergeCell ref="A11:F11"/>
    <mergeCell ref="B20:F20"/>
    <mergeCell ref="B15:F15"/>
    <mergeCell ref="A4:F5"/>
    <mergeCell ref="A7:F7"/>
  </mergeCell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M63"/>
  <sheetViews>
    <sheetView showGridLines="0" workbookViewId="0">
      <selection activeCell="A1" sqref="A1"/>
    </sheetView>
  </sheetViews>
  <sheetFormatPr baseColWidth="8" defaultRowHeight="15"/>
  <cols>
    <col width="22" customWidth="1" min="1" max="1"/>
    <col width="24" customWidth="1" min="2" max="2"/>
    <col width="28" customWidth="1" min="3" max="3"/>
    <col width="35" customWidth="1" min="4" max="4"/>
    <col width="24" customWidth="1" min="5" max="5"/>
    <col width="35" customWidth="1" min="6" max="6"/>
    <col width="48" customWidth="1" min="7" max="7"/>
    <col width="18" customWidth="1" min="8" max="8"/>
    <col width="65" customWidth="1" min="9" max="9"/>
    <col width="45" customWidth="1" min="10" max="10"/>
    <col width="24" customWidth="1" min="11" max="11"/>
    <col width="43" customWidth="1" min="12" max="12"/>
    <col width="24" customWidth="1" min="13" max="13"/>
  </cols>
  <sheetData>
    <row r="1">
      <c r="A1" s="7" t="inlineStr">
        <is>
          <t>Company</t>
        </is>
      </c>
      <c r="B1" s="7" t="inlineStr">
        <is>
          <t>Source therapeutic area</t>
        </is>
      </c>
      <c r="C1" s="7" t="inlineStr">
        <is>
          <t>Normalized area</t>
        </is>
      </c>
      <c r="D1" s="7" t="inlineStr">
        <is>
          <t>Lead investigational asset / program</t>
        </is>
      </c>
      <c r="E1" s="7" t="inlineStr">
        <is>
          <t>Highest disclosed phase in snapshot</t>
        </is>
      </c>
      <c r="F1" s="7" t="inlineStr">
        <is>
          <t>Modality / mechanism</t>
        </is>
      </c>
      <c r="G1" s="7" t="inlineStr">
        <is>
          <t>Representative area(s) under investigation</t>
        </is>
      </c>
      <c r="H1" s="7" t="inlineStr">
        <is>
          <t>Source snapshot date</t>
        </is>
      </c>
      <c r="I1" s="7" t="inlineStr">
        <is>
          <t>Source URL</t>
        </is>
      </c>
      <c r="J1" s="7" t="inlineStr">
        <is>
          <t>Methodology notes</t>
        </is>
      </c>
      <c r="K1" s="80" t="inlineStr">
        <is>
          <t>Brand / marketed component</t>
        </is>
      </c>
      <c r="L1" s="80" t="inlineStr">
        <is>
          <t>Brand relationship</t>
        </is>
      </c>
      <c r="M1" s="80" t="inlineStr">
        <is>
          <t>Sales trend IDs</t>
        </is>
      </c>
    </row>
    <row r="2" ht="45" customHeight="1">
      <c r="A2" s="8" t="inlineStr">
        <is>
          <t>AstraZeneca</t>
        </is>
      </c>
      <c r="B2" s="9" t="inlineStr">
        <is>
          <t>Oncology</t>
        </is>
      </c>
      <c r="C2" s="9" t="inlineStr">
        <is>
          <t>Solid-tumor oncology</t>
        </is>
      </c>
      <c r="D2" s="9" t="inlineStr">
        <is>
          <t>AZD9574</t>
        </is>
      </c>
      <c r="E2" s="9" t="inlineStr">
        <is>
          <t>Phase II</t>
        </is>
      </c>
      <c r="F2" s="9" t="inlineStr">
        <is>
          <t>PARP1 inhibitor</t>
        </is>
      </c>
      <c r="G2" s="9" t="inlineStr">
        <is>
          <t>Advanced solid malignancies</t>
        </is>
      </c>
      <c r="H2" s="9" t="inlineStr">
        <is>
          <t>2026-02-10</t>
        </is>
      </c>
      <c r="I2" s="9" t="inlineStr">
        <is>
          <t>https://www.astrazeneca.com/content/dam/az/Investor_Relations/annual-report-2025/pdf/AstraZeneca_Development_Pipeline_2025.pdf</t>
        </is>
      </c>
      <c r="J2" s="10" t="inlineStr"/>
      <c r="K2" t="inlineStr"/>
      <c r="L2" t="inlineStr"/>
      <c r="M2" t="inlineStr"/>
    </row>
    <row r="3" ht="45" customHeight="1">
      <c r="A3" s="8" t="inlineStr">
        <is>
          <t>AstraZeneca</t>
        </is>
      </c>
      <c r="B3" s="9" t="inlineStr">
        <is>
          <t>Oncology</t>
        </is>
      </c>
      <c r="C3" s="9" t="inlineStr">
        <is>
          <t>Solid-tumor oncology</t>
        </is>
      </c>
      <c r="D3" s="9" t="inlineStr">
        <is>
          <t>camizestrant</t>
        </is>
      </c>
      <c r="E3" s="9" t="inlineStr">
        <is>
          <t>Phase III / registration</t>
        </is>
      </c>
      <c r="F3" s="9" t="inlineStr">
        <is>
          <t>Next-generation oral SERD</t>
        </is>
      </c>
      <c r="G3" s="9" t="inlineStr">
        <is>
          <t>HR+/HER2- breast cancer, including advanced and adjuvant settings</t>
        </is>
      </c>
      <c r="H3" s="9" t="inlineStr">
        <is>
          <t>2026-02-10</t>
        </is>
      </c>
      <c r="I3" s="9" t="inlineStr">
        <is>
          <t>https://www.astrazeneca.com/content/dam/az/Investor_Relations/annual-report-2025/pdf/AstraZeneca_Development_Pipeline_2025.pdf</t>
        </is>
      </c>
      <c r="J3" s="10" t="inlineStr">
        <is>
          <t>Combination trials counted once under the lead investigational asset.</t>
        </is>
      </c>
      <c r="K3" t="inlineStr">
        <is>
          <t>Etcamah</t>
        </is>
      </c>
      <c r="L3" t="inlineStr">
        <is>
          <t>Approved brand for camizestrant (EU and Japan, 2026)</t>
        </is>
      </c>
      <c r="M3" t="inlineStr">
        <is>
          <t>ETCAMAH</t>
        </is>
      </c>
    </row>
    <row r="4" ht="45" customHeight="1">
      <c r="A4" s="8" t="inlineStr">
        <is>
          <t>AstraZeneca</t>
        </is>
      </c>
      <c r="B4" s="9" t="inlineStr">
        <is>
          <t>Oncology</t>
        </is>
      </c>
      <c r="C4" s="9" t="inlineStr">
        <is>
          <t>Solid-tumor oncology</t>
        </is>
      </c>
      <c r="D4" s="9" t="inlineStr">
        <is>
          <t>FPI-2265</t>
        </is>
      </c>
      <c r="E4" s="9" t="inlineStr">
        <is>
          <t>Phase II</t>
        </is>
      </c>
      <c r="F4" s="9" t="inlineStr">
        <is>
          <t>PSMA-targeted actinium radioconjugate</t>
        </is>
      </c>
      <c r="G4" s="9" t="inlineStr">
        <is>
          <t>Prostate cancer</t>
        </is>
      </c>
      <c r="H4" s="9" t="inlineStr">
        <is>
          <t>2026-02-10</t>
        </is>
      </c>
      <c r="I4" s="9" t="inlineStr">
        <is>
          <t>https://www.astrazeneca.com/content/dam/az/Investor_Relations/annual-report-2025/pdf/AstraZeneca_Development_Pipeline_2025.pdf</t>
        </is>
      </c>
      <c r="J4" s="10" t="inlineStr"/>
      <c r="K4" t="inlineStr"/>
      <c r="L4" t="inlineStr"/>
      <c r="M4" t="inlineStr"/>
    </row>
    <row r="5" ht="45" customHeight="1">
      <c r="A5" s="8" t="inlineStr">
        <is>
          <t>AstraZeneca</t>
        </is>
      </c>
      <c r="B5" s="9" t="inlineStr">
        <is>
          <t>Oncology</t>
        </is>
      </c>
      <c r="C5" s="9" t="inlineStr">
        <is>
          <t>Solid-tumor oncology</t>
        </is>
      </c>
      <c r="D5" s="9" t="inlineStr">
        <is>
          <t>IPH5201</t>
        </is>
      </c>
      <c r="E5" s="9" t="inlineStr">
        <is>
          <t>Phase II</t>
        </is>
      </c>
      <c r="F5" s="9" t="inlineStr">
        <is>
          <t>CD39 monoclonal antibody</t>
        </is>
      </c>
      <c r="G5" s="9" t="inlineStr">
        <is>
          <t>Neoadjuvant/adjuvant NSCLC; listed in combination with Imfinzi</t>
        </is>
      </c>
      <c r="H5" s="9" t="inlineStr">
        <is>
          <t>2026-02-10</t>
        </is>
      </c>
      <c r="I5" s="9" t="inlineStr">
        <is>
          <t>https://www.astrazeneca.com/content/dam/az/Investor_Relations/annual-report-2025/pdf/AstraZeneca_Development_Pipeline_2025.pdf</t>
        </is>
      </c>
      <c r="J5" s="10" t="inlineStr">
        <is>
          <t>Marketed combination backbone excluded from the asset count.</t>
        </is>
      </c>
      <c r="K5" t="inlineStr">
        <is>
          <t>Imfinzi</t>
        </is>
      </c>
      <c r="L5" t="inlineStr">
        <is>
          <t>Marketed combination backbone: Imfinzi (durvalumab)</t>
        </is>
      </c>
      <c r="M5" t="inlineStr">
        <is>
          <t>IMFINZI</t>
        </is>
      </c>
    </row>
    <row r="6" ht="45" customHeight="1">
      <c r="A6" s="8" t="inlineStr">
        <is>
          <t>AstraZeneca</t>
        </is>
      </c>
      <c r="B6" s="9" t="inlineStr">
        <is>
          <t>Oncology</t>
        </is>
      </c>
      <c r="C6" s="9" t="inlineStr">
        <is>
          <t>Solid-tumor oncology</t>
        </is>
      </c>
      <c r="D6" s="9" t="inlineStr">
        <is>
          <t>puxitatug samrotecan</t>
        </is>
      </c>
      <c r="E6" s="9" t="inlineStr">
        <is>
          <t>Phase III</t>
        </is>
      </c>
      <c r="F6" s="9" t="inlineStr">
        <is>
          <t>B7-H4 TOP1i antibody-drug conjugate</t>
        </is>
      </c>
      <c r="G6" s="9" t="inlineStr">
        <is>
          <t>Solid tumors; Phase III endometrial cancer program</t>
        </is>
      </c>
      <c r="H6" s="9" t="inlineStr">
        <is>
          <t>2026-02-10</t>
        </is>
      </c>
      <c r="I6" s="9" t="inlineStr">
        <is>
          <t>https://www.astrazeneca.com/content/dam/az/Investor_Relations/annual-report-2025/pdf/AstraZeneca_Development_Pipeline_2025.pdf</t>
        </is>
      </c>
      <c r="J6" s="10" t="inlineStr"/>
      <c r="K6" t="inlineStr"/>
      <c r="L6" t="inlineStr"/>
      <c r="M6" t="inlineStr"/>
    </row>
    <row r="7" ht="45" customHeight="1">
      <c r="A7" s="8" t="inlineStr">
        <is>
          <t>AstraZeneca</t>
        </is>
      </c>
      <c r="B7" s="9" t="inlineStr">
        <is>
          <t>Oncology</t>
        </is>
      </c>
      <c r="C7" s="9" t="inlineStr">
        <is>
          <t>Solid-tumor oncology</t>
        </is>
      </c>
      <c r="D7" s="9" t="inlineStr">
        <is>
          <t>rilvegostomig</t>
        </is>
      </c>
      <c r="E7" s="9" t="inlineStr">
        <is>
          <t>Phase III</t>
        </is>
      </c>
      <c r="F7" s="9" t="inlineStr">
        <is>
          <t>PD-1/TIGIT bispecific antibody</t>
        </is>
      </c>
      <c r="G7" s="9" t="inlineStr">
        <is>
          <t>NSCLC, HCC, gastric, biliary and other solid tumors</t>
        </is>
      </c>
      <c r="H7" s="9" t="inlineStr">
        <is>
          <t>2026-02-10</t>
        </is>
      </c>
      <c r="I7" s="9" t="inlineStr">
        <is>
          <t>https://www.astrazeneca.com/content/dam/az/Investor_Relations/annual-report-2025/pdf/AstraZeneca_Development_Pipeline_2025.pdf</t>
        </is>
      </c>
      <c r="J7" s="10" t="inlineStr">
        <is>
          <t>Multiple combinations and indications counted once under the lead asset.</t>
        </is>
      </c>
      <c r="K7" t="inlineStr"/>
      <c r="L7" t="inlineStr"/>
      <c r="M7" t="inlineStr"/>
    </row>
    <row r="8" ht="45" customHeight="1">
      <c r="A8" s="8" t="inlineStr">
        <is>
          <t>AstraZeneca</t>
        </is>
      </c>
      <c r="B8" s="9" t="inlineStr">
        <is>
          <t>Oncology</t>
        </is>
      </c>
      <c r="C8" s="9" t="inlineStr">
        <is>
          <t>Solid-tumor oncology</t>
        </is>
      </c>
      <c r="D8" s="9" t="inlineStr">
        <is>
          <t>saruparib</t>
        </is>
      </c>
      <c r="E8" s="9" t="inlineStr">
        <is>
          <t>Phase III</t>
        </is>
      </c>
      <c r="F8" s="9" t="inlineStr">
        <is>
          <t>PARP1 inhibitor</t>
        </is>
      </c>
      <c r="G8" s="9" t="inlineStr">
        <is>
          <t>Prostate and breast cancer programs</t>
        </is>
      </c>
      <c r="H8" s="9" t="inlineStr">
        <is>
          <t>2026-02-10</t>
        </is>
      </c>
      <c r="I8" s="9" t="inlineStr">
        <is>
          <t>https://www.astrazeneca.com/content/dam/az/Investor_Relations/annual-report-2025/pdf/AstraZeneca_Development_Pipeline_2025.pdf</t>
        </is>
      </c>
      <c r="J8" s="10" t="inlineStr">
        <is>
          <t>Multiple combinations and indications counted once under the lead asset.</t>
        </is>
      </c>
      <c r="K8" t="inlineStr"/>
      <c r="L8" t="inlineStr"/>
      <c r="M8" t="inlineStr"/>
    </row>
    <row r="9" ht="45" customHeight="1">
      <c r="A9" s="8" t="inlineStr">
        <is>
          <t>AstraZeneca</t>
        </is>
      </c>
      <c r="B9" s="9" t="inlineStr">
        <is>
          <t>Oncology</t>
        </is>
      </c>
      <c r="C9" s="9" t="inlineStr">
        <is>
          <t>Solid-tumor oncology</t>
        </is>
      </c>
      <c r="D9" s="9" t="inlineStr">
        <is>
          <t>sonesitatug vedotin</t>
        </is>
      </c>
      <c r="E9" s="9" t="inlineStr">
        <is>
          <t>Phase III</t>
        </is>
      </c>
      <c r="F9" s="9" t="inlineStr">
        <is>
          <t>CLDN18.2 MMAE antibody-drug conjugate</t>
        </is>
      </c>
      <c r="G9" s="9" t="inlineStr">
        <is>
          <t>Solid tumors; Phase III gastric cancer program</t>
        </is>
      </c>
      <c r="H9" s="9" t="inlineStr">
        <is>
          <t>2026-02-10</t>
        </is>
      </c>
      <c r="I9" s="9" t="inlineStr">
        <is>
          <t>https://www.astrazeneca.com/content/dam/az/Investor_Relations/annual-report-2025/pdf/AstraZeneca_Development_Pipeline_2025.pdf</t>
        </is>
      </c>
      <c r="J9" s="10" t="inlineStr"/>
      <c r="K9" t="inlineStr"/>
      <c r="L9" t="inlineStr"/>
      <c r="M9" t="inlineStr"/>
    </row>
    <row r="10" ht="45" customHeight="1">
      <c r="A10" s="8" t="inlineStr">
        <is>
          <t>AstraZeneca</t>
        </is>
      </c>
      <c r="B10" s="9" t="inlineStr">
        <is>
          <t>Oncology</t>
        </is>
      </c>
      <c r="C10" s="9" t="inlineStr">
        <is>
          <t>Solid-tumor oncology</t>
        </is>
      </c>
      <c r="D10" s="9" t="inlineStr">
        <is>
          <t>tilatamig samrotecan</t>
        </is>
      </c>
      <c r="E10" s="9" t="inlineStr">
        <is>
          <t>Phase II</t>
        </is>
      </c>
      <c r="F10" s="9" t="inlineStr">
        <is>
          <t>EGFR/cMET TOP1i antibody-drug conjugate</t>
        </is>
      </c>
      <c r="G10" s="9" t="inlineStr">
        <is>
          <t>Solid tumors</t>
        </is>
      </c>
      <c r="H10" s="9" t="inlineStr">
        <is>
          <t>2026-02-10</t>
        </is>
      </c>
      <c r="I10" s="9" t="inlineStr">
        <is>
          <t>https://www.astrazeneca.com/content/dam/az/Investor_Relations/annual-report-2025/pdf/AstraZeneca_Development_Pipeline_2025.pdf</t>
        </is>
      </c>
      <c r="J10" s="10" t="inlineStr"/>
      <c r="K10" t="inlineStr"/>
      <c r="L10" t="inlineStr"/>
      <c r="M10" t="inlineStr"/>
    </row>
    <row r="11" ht="45" customHeight="1">
      <c r="A11" s="8" t="inlineStr">
        <is>
          <t>AstraZeneca</t>
        </is>
      </c>
      <c r="B11" s="9" t="inlineStr">
        <is>
          <t>Oncology</t>
        </is>
      </c>
      <c r="C11" s="9" t="inlineStr">
        <is>
          <t>Solid-tumor oncology</t>
        </is>
      </c>
      <c r="D11" s="9" t="inlineStr">
        <is>
          <t>torvutatug samrotecan (AZD5335)</t>
        </is>
      </c>
      <c r="E11" s="9" t="inlineStr">
        <is>
          <t>Phase III</t>
        </is>
      </c>
      <c r="F11" s="9" t="inlineStr">
        <is>
          <t>FR-alpha TOP1i antibody-drug conjugate</t>
        </is>
      </c>
      <c r="G11" s="9" t="inlineStr">
        <is>
          <t>Ovarian cancer and other solid tumors</t>
        </is>
      </c>
      <c r="H11" s="9" t="inlineStr">
        <is>
          <t>2026-02-10</t>
        </is>
      </c>
      <c r="I11" s="9" t="inlineStr">
        <is>
          <t>https://www.astrazeneca.com/content/dam/az/Investor_Relations/annual-report-2025/pdf/AstraZeneca_Development_Pipeline_2025.pdf</t>
        </is>
      </c>
      <c r="J11" s="10" t="inlineStr"/>
      <c r="K11" t="inlineStr"/>
      <c r="L11" t="inlineStr"/>
      <c r="M11" t="inlineStr"/>
    </row>
    <row r="12" ht="45" customHeight="1">
      <c r="A12" s="8" t="inlineStr">
        <is>
          <t>AstraZeneca</t>
        </is>
      </c>
      <c r="B12" s="9" t="inlineStr">
        <is>
          <t>Oncology</t>
        </is>
      </c>
      <c r="C12" s="9" t="inlineStr">
        <is>
          <t>Solid-tumor oncology</t>
        </is>
      </c>
      <c r="D12" s="9" t="inlineStr">
        <is>
          <t>volrustomig</t>
        </is>
      </c>
      <c r="E12" s="9" t="inlineStr">
        <is>
          <t>Phase III</t>
        </is>
      </c>
      <c r="F12" s="9" t="inlineStr">
        <is>
          <t>PD-1/CTLA-4 bispecific antibody</t>
        </is>
      </c>
      <c r="G12" s="9" t="inlineStr">
        <is>
          <t>NSCLC, cervical, head and neck, colorectal and mesothelioma</t>
        </is>
      </c>
      <c r="H12" s="9" t="inlineStr">
        <is>
          <t>2026-02-10</t>
        </is>
      </c>
      <c r="I12" s="9" t="inlineStr">
        <is>
          <t>https://www.astrazeneca.com/content/dam/az/Investor_Relations/annual-report-2025/pdf/AstraZeneca_Development_Pipeline_2025.pdf</t>
        </is>
      </c>
      <c r="J12" s="10" t="inlineStr">
        <is>
          <t>Multiple indications counted once under the lead asset.</t>
        </is>
      </c>
      <c r="K12" t="inlineStr"/>
      <c r="L12" t="inlineStr"/>
      <c r="M12" t="inlineStr"/>
    </row>
    <row r="13" ht="45" customHeight="1">
      <c r="A13" s="8" t="inlineStr">
        <is>
          <t>AstraZeneca</t>
        </is>
      </c>
      <c r="B13" s="9" t="inlineStr">
        <is>
          <t>Oncology</t>
        </is>
      </c>
      <c r="C13" s="9" t="inlineStr">
        <is>
          <t>Hematology</t>
        </is>
      </c>
      <c r="D13" s="9" t="inlineStr">
        <is>
          <t>AZD0120</t>
        </is>
      </c>
      <c r="E13" s="9" t="inlineStr">
        <is>
          <t>Phase II</t>
        </is>
      </c>
      <c r="F13" s="9" t="inlineStr">
        <is>
          <t>CD19/BCMA CAR-T</t>
        </is>
      </c>
      <c r="G13" s="9" t="inlineStr">
        <is>
          <t>Multiple myeloma</t>
        </is>
      </c>
      <c r="H13" s="9" t="inlineStr">
        <is>
          <t>2026-02-10</t>
        </is>
      </c>
      <c r="I13" s="9" t="inlineStr">
        <is>
          <t>https://www.astrazeneca.com/content/dam/az/Investor_Relations/annual-report-2025/pdf/AstraZeneca_Development_Pipeline_2025.pdf</t>
        </is>
      </c>
      <c r="J13" s="10" t="inlineStr"/>
      <c r="K13" t="inlineStr"/>
      <c r="L13" t="inlineStr"/>
      <c r="M13" t="inlineStr"/>
    </row>
    <row r="14" ht="45" customHeight="1">
      <c r="A14" s="8" t="inlineStr">
        <is>
          <t>AstraZeneca</t>
        </is>
      </c>
      <c r="B14" s="9" t="inlineStr">
        <is>
          <t>Oncology</t>
        </is>
      </c>
      <c r="C14" s="9" t="inlineStr">
        <is>
          <t>Hematology</t>
        </is>
      </c>
      <c r="D14" s="9" t="inlineStr">
        <is>
          <t>AZD0305</t>
        </is>
      </c>
      <c r="E14" s="9" t="inlineStr">
        <is>
          <t>Phase II</t>
        </is>
      </c>
      <c r="F14" s="9" t="inlineStr">
        <is>
          <t>GPRC5D MMAE antibody-drug conjugate</t>
        </is>
      </c>
      <c r="G14" s="9" t="inlineStr">
        <is>
          <t>Relapsed/refractory multiple myeloma</t>
        </is>
      </c>
      <c r="H14" s="9" t="inlineStr">
        <is>
          <t>2026-02-10</t>
        </is>
      </c>
      <c r="I14" s="9" t="inlineStr">
        <is>
          <t>https://www.astrazeneca.com/content/dam/az/Investor_Relations/annual-report-2025/pdf/AstraZeneca_Development_Pipeline_2025.pdf</t>
        </is>
      </c>
      <c r="J14" s="10" t="inlineStr"/>
      <c r="K14" t="inlineStr"/>
      <c r="L14" t="inlineStr"/>
      <c r="M14" t="inlineStr"/>
    </row>
    <row r="15" ht="45" customHeight="1">
      <c r="A15" s="8" t="inlineStr">
        <is>
          <t>AstraZeneca</t>
        </is>
      </c>
      <c r="B15" s="9" t="inlineStr">
        <is>
          <t>Oncology</t>
        </is>
      </c>
      <c r="C15" s="9" t="inlineStr">
        <is>
          <t>Hematology</t>
        </is>
      </c>
      <c r="D15" s="9" t="inlineStr">
        <is>
          <t>AZD3470</t>
        </is>
      </c>
      <c r="E15" s="9" t="inlineStr">
        <is>
          <t>Phase II</t>
        </is>
      </c>
      <c r="F15" s="9" t="inlineStr">
        <is>
          <t>PRMT5 inhibitor</t>
        </is>
      </c>
      <c r="G15" s="9" t="inlineStr">
        <is>
          <t>Classical Hodgkin lymphoma; also early solid-tumor work</t>
        </is>
      </c>
      <c r="H15" s="9" t="inlineStr">
        <is>
          <t>2026-02-10</t>
        </is>
      </c>
      <c r="I15" s="9" t="inlineStr">
        <is>
          <t>https://www.astrazeneca.com/content/dam/az/Investor_Relations/annual-report-2025/pdf/AstraZeneca_Development_Pipeline_2025.pdf</t>
        </is>
      </c>
      <c r="J15" s="10" t="inlineStr">
        <is>
          <t>Classified to hematology based on the disclosed Phase II indication.</t>
        </is>
      </c>
      <c r="K15" t="inlineStr"/>
      <c r="L15" t="inlineStr"/>
      <c r="M15" t="inlineStr"/>
    </row>
    <row r="16" ht="45" customHeight="1">
      <c r="A16" s="8" t="inlineStr">
        <is>
          <t>AstraZeneca</t>
        </is>
      </c>
      <c r="B16" s="9" t="inlineStr">
        <is>
          <t>Oncology</t>
        </is>
      </c>
      <c r="C16" s="9" t="inlineStr">
        <is>
          <t>Hematology</t>
        </is>
      </c>
      <c r="D16" s="9" t="inlineStr">
        <is>
          <t>surovatamig</t>
        </is>
      </c>
      <c r="E16" s="9" t="inlineStr">
        <is>
          <t>Phase III</t>
        </is>
      </c>
      <c r="F16" s="9" t="inlineStr">
        <is>
          <t>CD19/CD3 T-cell engager</t>
        </is>
      </c>
      <c r="G16" s="9" t="inlineStr">
        <is>
          <t>B-cell malignancies including DLBCL, follicular lymphoma and B-ALL</t>
        </is>
      </c>
      <c r="H16" s="9" t="inlineStr">
        <is>
          <t>2026-02-10</t>
        </is>
      </c>
      <c r="I16" s="9" t="inlineStr">
        <is>
          <t>https://www.astrazeneca.com/content/dam/az/Investor_Relations/annual-report-2025/pdf/AstraZeneca_Development_Pipeline_2025.pdf</t>
        </is>
      </c>
      <c r="J16" s="10" t="inlineStr">
        <is>
          <t>Multiple indications counted once under the lead asset.</t>
        </is>
      </c>
      <c r="K16" t="inlineStr"/>
      <c r="L16" t="inlineStr"/>
      <c r="M16" t="inlineStr"/>
    </row>
    <row r="17" ht="45" customHeight="1">
      <c r="A17" s="8" t="inlineStr">
        <is>
          <t>AstraZeneca</t>
        </is>
      </c>
      <c r="B17" s="9" t="inlineStr">
        <is>
          <t>Respiratory &amp; Immunology</t>
        </is>
      </c>
      <c r="C17" s="9" t="inlineStr">
        <is>
          <t>Immunology, respiratory &amp; fibrosis</t>
        </is>
      </c>
      <c r="D17" s="9" t="inlineStr">
        <is>
          <t>atuliflapon</t>
        </is>
      </c>
      <c r="E17" s="9" t="inlineStr">
        <is>
          <t>Phase II</t>
        </is>
      </c>
      <c r="F17" s="9" t="inlineStr">
        <is>
          <t>FLAP inhibitor</t>
        </is>
      </c>
      <c r="G17" s="9" t="inlineStr">
        <is>
          <t>Asthma</t>
        </is>
      </c>
      <c r="H17" s="9" t="inlineStr">
        <is>
          <t>2026-02-10</t>
        </is>
      </c>
      <c r="I17" s="9" t="inlineStr">
        <is>
          <t>https://www.astrazeneca.com/content/dam/az/Investor_Relations/annual-report-2025/pdf/AstraZeneca_Development_Pipeline_2025.pdf</t>
        </is>
      </c>
      <c r="J17" s="10" t="inlineStr"/>
      <c r="K17" t="inlineStr"/>
      <c r="L17" t="inlineStr"/>
      <c r="M17" t="inlineStr"/>
    </row>
    <row r="18" ht="45" customHeight="1">
      <c r="A18" s="8" t="inlineStr">
        <is>
          <t>AstraZeneca</t>
        </is>
      </c>
      <c r="B18" s="9" t="inlineStr">
        <is>
          <t>Respiratory &amp; Immunology</t>
        </is>
      </c>
      <c r="C18" s="9" t="inlineStr">
        <is>
          <t>Immunology, respiratory &amp; fibrosis</t>
        </is>
      </c>
      <c r="D18" s="9" t="inlineStr">
        <is>
          <t>AZD1163</t>
        </is>
      </c>
      <c r="E18" s="9" t="inlineStr">
        <is>
          <t>Phase II</t>
        </is>
      </c>
      <c r="F18" s="9" t="inlineStr">
        <is>
          <t>PAD2/4 bispecific antibody</t>
        </is>
      </c>
      <c r="G18" s="9" t="inlineStr">
        <is>
          <t>Rheumatoid arthritis</t>
        </is>
      </c>
      <c r="H18" s="9" t="inlineStr">
        <is>
          <t>2026-02-10</t>
        </is>
      </c>
      <c r="I18" s="9" t="inlineStr">
        <is>
          <t>https://www.astrazeneca.com/content/dam/az/Investor_Relations/annual-report-2025/pdf/AstraZeneca_Development_Pipeline_2025.pdf</t>
        </is>
      </c>
      <c r="J18" s="10" t="inlineStr"/>
      <c r="K18" t="inlineStr"/>
      <c r="L18" t="inlineStr"/>
      <c r="M18" t="inlineStr"/>
    </row>
    <row r="19" ht="45" customHeight="1">
      <c r="A19" s="8" t="inlineStr">
        <is>
          <t>AstraZeneca</t>
        </is>
      </c>
      <c r="B19" s="9" t="inlineStr">
        <is>
          <t>Respiratory &amp; Immunology</t>
        </is>
      </c>
      <c r="C19" s="9" t="inlineStr">
        <is>
          <t>Immunology, respiratory &amp; fibrosis</t>
        </is>
      </c>
      <c r="D19" s="9" t="inlineStr">
        <is>
          <t>AZD4604</t>
        </is>
      </c>
      <c r="E19" s="9" t="inlineStr">
        <is>
          <t>Phase II</t>
        </is>
      </c>
      <c r="F19" s="9" t="inlineStr">
        <is>
          <t>Inhaled JAK1 inhibitor</t>
        </is>
      </c>
      <c r="G19" s="9" t="inlineStr">
        <is>
          <t>Asthma</t>
        </is>
      </c>
      <c r="H19" s="9" t="inlineStr">
        <is>
          <t>2026-02-10</t>
        </is>
      </c>
      <c r="I19" s="9" t="inlineStr">
        <is>
          <t>https://www.astrazeneca.com/content/dam/az/Investor_Relations/annual-report-2025/pdf/AstraZeneca_Development_Pipeline_2025.pdf</t>
        </is>
      </c>
      <c r="J19" s="10" t="inlineStr"/>
      <c r="K19" t="inlineStr"/>
      <c r="L19" t="inlineStr"/>
      <c r="M19" t="inlineStr"/>
    </row>
    <row r="20" ht="45" customHeight="1">
      <c r="A20" s="8" t="inlineStr">
        <is>
          <t>AstraZeneca</t>
        </is>
      </c>
      <c r="B20" s="9" t="inlineStr">
        <is>
          <t>Respiratory &amp; Immunology</t>
        </is>
      </c>
      <c r="C20" s="9" t="inlineStr">
        <is>
          <t>Immunology, respiratory &amp; fibrosis</t>
        </is>
      </c>
      <c r="D20" s="9" t="inlineStr">
        <is>
          <t>AZD6793</t>
        </is>
      </c>
      <c r="E20" s="9" t="inlineStr">
        <is>
          <t>Phase II</t>
        </is>
      </c>
      <c r="F20" s="9" t="inlineStr">
        <is>
          <t>IRAK4 inhibitor</t>
        </is>
      </c>
      <c r="G20" s="9" t="inlineStr">
        <is>
          <t>COPD</t>
        </is>
      </c>
      <c r="H20" s="9" t="inlineStr">
        <is>
          <t>2026-02-10</t>
        </is>
      </c>
      <c r="I20" s="9" t="inlineStr">
        <is>
          <t>https://www.astrazeneca.com/content/dam/az/Investor_Relations/annual-report-2025/pdf/AstraZeneca_Development_Pipeline_2025.pdf</t>
        </is>
      </c>
      <c r="J20" s="10" t="inlineStr"/>
      <c r="K20" t="inlineStr"/>
      <c r="L20" t="inlineStr"/>
      <c r="M20" t="inlineStr"/>
    </row>
    <row r="21" ht="45" customHeight="1">
      <c r="A21" s="8" t="inlineStr">
        <is>
          <t>AstraZeneca</t>
        </is>
      </c>
      <c r="B21" s="9" t="inlineStr">
        <is>
          <t>Respiratory &amp; Immunology</t>
        </is>
      </c>
      <c r="C21" s="9" t="inlineStr">
        <is>
          <t>Immunology, respiratory &amp; fibrosis</t>
        </is>
      </c>
      <c r="D21" s="9" t="inlineStr">
        <is>
          <t>AZD7798</t>
        </is>
      </c>
      <c r="E21" s="9" t="inlineStr">
        <is>
          <t>Phase II</t>
        </is>
      </c>
      <c r="F21" s="9" t="inlineStr">
        <is>
          <t>T-cell-subset-targeting monoclonal antibody</t>
        </is>
      </c>
      <c r="G21" s="9" t="inlineStr">
        <is>
          <t>Crohn's disease</t>
        </is>
      </c>
      <c r="H21" s="9" t="inlineStr">
        <is>
          <t>2026-02-10</t>
        </is>
      </c>
      <c r="I21" s="9" t="inlineStr">
        <is>
          <t>https://www.astrazeneca.com/content/dam/az/Investor_Relations/annual-report-2025/pdf/AstraZeneca_Development_Pipeline_2025.pdf</t>
        </is>
      </c>
      <c r="J21" s="10" t="inlineStr"/>
      <c r="K21" t="inlineStr"/>
      <c r="L21" t="inlineStr"/>
      <c r="M21" t="inlineStr"/>
    </row>
    <row r="22" ht="45" customHeight="1">
      <c r="A22" s="8" t="inlineStr">
        <is>
          <t>AstraZeneca</t>
        </is>
      </c>
      <c r="B22" s="9" t="inlineStr">
        <is>
          <t>Respiratory &amp; Immunology</t>
        </is>
      </c>
      <c r="C22" s="9" t="inlineStr">
        <is>
          <t>Immunology, respiratory &amp; fibrosis</t>
        </is>
      </c>
      <c r="D22" s="9" t="inlineStr">
        <is>
          <t>AZD8630</t>
        </is>
      </c>
      <c r="E22" s="9" t="inlineStr">
        <is>
          <t>Phase II</t>
        </is>
      </c>
      <c r="F22" s="9" t="inlineStr">
        <is>
          <t>Inhaled TSLP Fab</t>
        </is>
      </c>
      <c r="G22" s="9" t="inlineStr">
        <is>
          <t>Asthma</t>
        </is>
      </c>
      <c r="H22" s="9" t="inlineStr">
        <is>
          <t>2026-02-10</t>
        </is>
      </c>
      <c r="I22" s="9" t="inlineStr">
        <is>
          <t>https://www.astrazeneca.com/content/dam/az/Investor_Relations/annual-report-2025/pdf/AstraZeneca_Development_Pipeline_2025.pdf</t>
        </is>
      </c>
      <c r="J22" s="10" t="inlineStr"/>
      <c r="K22" t="inlineStr"/>
      <c r="L22" t="inlineStr"/>
      <c r="M22" t="inlineStr"/>
    </row>
    <row r="23" ht="45" customHeight="1">
      <c r="A23" s="8" t="inlineStr">
        <is>
          <t>AstraZeneca</t>
        </is>
      </c>
      <c r="B23" s="9" t="inlineStr">
        <is>
          <t>Respiratory &amp; Immunology</t>
        </is>
      </c>
      <c r="C23" s="9" t="inlineStr">
        <is>
          <t>Immunology, respiratory &amp; fibrosis</t>
        </is>
      </c>
      <c r="D23" s="9" t="inlineStr">
        <is>
          <t>tozorakimab</t>
        </is>
      </c>
      <c r="E23" s="9" t="inlineStr">
        <is>
          <t>Phase III</t>
        </is>
      </c>
      <c r="F23" s="9" t="inlineStr">
        <is>
          <t>IL-33 monoclonal antibody</t>
        </is>
      </c>
      <c r="G23" s="9" t="inlineStr">
        <is>
          <t>COPD and severe viral lower respiratory tract disease</t>
        </is>
      </c>
      <c r="H23" s="9" t="inlineStr">
        <is>
          <t>2026-02-10</t>
        </is>
      </c>
      <c r="I23" s="9" t="inlineStr">
        <is>
          <t>https://www.astrazeneca.com/content/dam/az/Investor_Relations/annual-report-2025/pdf/AstraZeneca_Development_Pipeline_2025.pdf</t>
        </is>
      </c>
      <c r="J23" s="10" t="inlineStr"/>
      <c r="K23" t="inlineStr"/>
      <c r="L23" t="inlineStr"/>
      <c r="M23" t="inlineStr"/>
    </row>
    <row r="24" ht="45" customHeight="1">
      <c r="A24" s="8" t="inlineStr">
        <is>
          <t>AstraZeneca</t>
        </is>
      </c>
      <c r="B24" s="9" t="inlineStr">
        <is>
          <t>CVRM</t>
        </is>
      </c>
      <c r="C24" s="9" t="inlineStr">
        <is>
          <t>Cardiovascular</t>
        </is>
      </c>
      <c r="D24" s="9" t="inlineStr">
        <is>
          <t>AZD5462</t>
        </is>
      </c>
      <c r="E24" s="9" t="inlineStr">
        <is>
          <t>Phase II</t>
        </is>
      </c>
      <c r="F24" s="9" t="inlineStr">
        <is>
          <t>RXFP1 agonist</t>
        </is>
      </c>
      <c r="G24" s="9" t="inlineStr">
        <is>
          <t>Heart failure</t>
        </is>
      </c>
      <c r="H24" s="9" t="inlineStr">
        <is>
          <t>2026-02-10</t>
        </is>
      </c>
      <c r="I24" s="9" t="inlineStr">
        <is>
          <t>https://www.astrazeneca.com/content/dam/az/Investor_Relations/annual-report-2025/pdf/AstraZeneca_Development_Pipeline_2025.pdf</t>
        </is>
      </c>
      <c r="J24" s="10" t="inlineStr"/>
      <c r="K24" t="inlineStr"/>
      <c r="L24" t="inlineStr"/>
      <c r="M24" t="inlineStr"/>
    </row>
    <row r="25" ht="45" customHeight="1">
      <c r="A25" s="8" t="inlineStr">
        <is>
          <t>AstraZeneca</t>
        </is>
      </c>
      <c r="B25" s="9" t="inlineStr">
        <is>
          <t>CVRM</t>
        </is>
      </c>
      <c r="C25" s="9" t="inlineStr">
        <is>
          <t>Cardiovascular</t>
        </is>
      </c>
      <c r="D25" s="9" t="inlineStr">
        <is>
          <t>baxdrostat</t>
        </is>
      </c>
      <c r="E25" s="9" t="inlineStr">
        <is>
          <t>Phase III / registration</t>
        </is>
      </c>
      <c r="F25" s="9" t="inlineStr">
        <is>
          <t>Aldosterone synthase inhibitor</t>
        </is>
      </c>
      <c r="G25" s="9" t="inlineStr">
        <is>
          <t>Hypertension and primary aldosteronism</t>
        </is>
      </c>
      <c r="H25" s="9" t="inlineStr">
        <is>
          <t>2026-02-10</t>
        </is>
      </c>
      <c r="I25" s="9" t="inlineStr">
        <is>
          <t>https://www.astrazeneca.com/content/dam/az/Investor_Relations/annual-report-2025/pdf/AstraZeneca_Development_Pipeline_2025.pdf</t>
        </is>
      </c>
      <c r="J25" s="10" t="inlineStr">
        <is>
          <t>Programs with dapagliflozin counted once under baxdrostat.</t>
        </is>
      </c>
      <c r="K25" t="inlineStr">
        <is>
          <t>Baxfendy</t>
        </is>
      </c>
      <c r="L25" t="inlineStr">
        <is>
          <t>Approved brand for baxdrostat (US, 2026)</t>
        </is>
      </c>
      <c r="M25" t="inlineStr">
        <is>
          <t>BAXFENDY</t>
        </is>
      </c>
    </row>
    <row r="26" ht="45" customHeight="1">
      <c r="A26" s="8" t="inlineStr">
        <is>
          <t>AstraZeneca</t>
        </is>
      </c>
      <c r="B26" s="9" t="inlineStr">
        <is>
          <t>CVRM</t>
        </is>
      </c>
      <c r="C26" s="9" t="inlineStr">
        <is>
          <t>Cardiovascular</t>
        </is>
      </c>
      <c r="D26" s="9" t="inlineStr">
        <is>
          <t>laroprovstat</t>
        </is>
      </c>
      <c r="E26" s="9" t="inlineStr">
        <is>
          <t>Phase III</t>
        </is>
      </c>
      <c r="F26" s="9" t="inlineStr">
        <is>
          <t>PCSK9 inhibitor</t>
        </is>
      </c>
      <c r="G26" s="9" t="inlineStr">
        <is>
          <t>Dyslipidemia</t>
        </is>
      </c>
      <c r="H26" s="9" t="inlineStr">
        <is>
          <t>2026-02-10</t>
        </is>
      </c>
      <c r="I26" s="9" t="inlineStr">
        <is>
          <t>https://www.astrazeneca.com/content/dam/az/Investor_Relations/annual-report-2025/pdf/AstraZeneca_Development_Pipeline_2025.pdf</t>
        </is>
      </c>
      <c r="J26" s="10" t="inlineStr"/>
      <c r="K26" t="inlineStr"/>
      <c r="L26" t="inlineStr"/>
      <c r="M26" t="inlineStr"/>
    </row>
    <row r="27" ht="45" customHeight="1">
      <c r="A27" s="8" t="inlineStr">
        <is>
          <t>AstraZeneca</t>
        </is>
      </c>
      <c r="B27" s="9" t="inlineStr">
        <is>
          <t>CVRM</t>
        </is>
      </c>
      <c r="C27" s="9" t="inlineStr">
        <is>
          <t>Renal &amp; metabolic</t>
        </is>
      </c>
      <c r="D27" s="9" t="inlineStr">
        <is>
          <t>AZD2389</t>
        </is>
      </c>
      <c r="E27" s="9" t="inlineStr">
        <is>
          <t>Phase II</t>
        </is>
      </c>
      <c r="F27" s="9" t="inlineStr">
        <is>
          <t>Anti-fibrotic mechanism</t>
        </is>
      </c>
      <c r="G27" s="9" t="inlineStr">
        <is>
          <t>Metabolic dysfunction-associated steatohepatitis</t>
        </is>
      </c>
      <c r="H27" s="9" t="inlineStr">
        <is>
          <t>2026-02-10</t>
        </is>
      </c>
      <c r="I27" s="9" t="inlineStr">
        <is>
          <t>https://www.astrazeneca.com/content/dam/az/Investor_Relations/annual-report-2025/pdf/AstraZeneca_Development_Pipeline_2025.pdf</t>
        </is>
      </c>
      <c r="J27" s="10" t="inlineStr"/>
      <c r="K27" t="inlineStr"/>
      <c r="L27" t="inlineStr"/>
      <c r="M27" t="inlineStr"/>
    </row>
    <row r="28" ht="45" customHeight="1">
      <c r="A28" s="8" t="inlineStr">
        <is>
          <t>AstraZeneca</t>
        </is>
      </c>
      <c r="B28" s="9" t="inlineStr">
        <is>
          <t>CVRM</t>
        </is>
      </c>
      <c r="C28" s="9" t="inlineStr">
        <is>
          <t>Renal &amp; metabolic</t>
        </is>
      </c>
      <c r="D28" s="9" t="inlineStr">
        <is>
          <t>AZD6234</t>
        </is>
      </c>
      <c r="E28" s="9" t="inlineStr">
        <is>
          <t>Phase II</t>
        </is>
      </c>
      <c r="F28" s="9" t="inlineStr">
        <is>
          <t>Peptide therapy</t>
        </is>
      </c>
      <c r="G28" s="9" t="inlineStr">
        <is>
          <t>Chronic weight management</t>
        </is>
      </c>
      <c r="H28" s="9" t="inlineStr">
        <is>
          <t>2026-02-10</t>
        </is>
      </c>
      <c r="I28" s="9" t="inlineStr">
        <is>
          <t>https://www.astrazeneca.com/content/dam/az/Investor_Relations/annual-report-2025/pdf/AstraZeneca_Development_Pipeline_2025.pdf</t>
        </is>
      </c>
      <c r="J28" s="10" t="inlineStr"/>
      <c r="K28" t="inlineStr"/>
      <c r="L28" t="inlineStr"/>
      <c r="M28" t="inlineStr"/>
    </row>
    <row r="29" ht="45" customHeight="1">
      <c r="A29" s="8" t="inlineStr">
        <is>
          <t>AstraZeneca</t>
        </is>
      </c>
      <c r="B29" s="9" t="inlineStr">
        <is>
          <t>CVRM</t>
        </is>
      </c>
      <c r="C29" s="9" t="inlineStr">
        <is>
          <t>Renal &amp; metabolic</t>
        </is>
      </c>
      <c r="D29" s="9" t="inlineStr">
        <is>
          <t>AZD9550 + AZD6234</t>
        </is>
      </c>
      <c r="E29" s="9" t="inlineStr">
        <is>
          <t>Phase II</t>
        </is>
      </c>
      <c r="F29" s="9" t="inlineStr">
        <is>
          <t>GLP-1/glucagon dual agonist plus amylin agonist</t>
        </is>
      </c>
      <c r="G29" s="9" t="inlineStr">
        <is>
          <t>Obesity</t>
        </is>
      </c>
      <c r="H29" s="9" t="inlineStr">
        <is>
          <t>2026-02-10</t>
        </is>
      </c>
      <c r="I29" s="9" t="inlineStr">
        <is>
          <t>https://www.astrazeneca.com/content/dam/az/Investor_Relations/annual-report-2025/pdf/AstraZeneca_Development_Pipeline_2025.pdf</t>
        </is>
      </c>
      <c r="J29" s="10" t="inlineStr">
        <is>
          <t>Two-investigational-asset combination counted as one disclosed program.</t>
        </is>
      </c>
      <c r="K29" t="inlineStr"/>
      <c r="L29" t="inlineStr"/>
      <c r="M29" t="inlineStr"/>
    </row>
    <row r="30" ht="45" customHeight="1">
      <c r="A30" s="8" t="inlineStr">
        <is>
          <t>AstraZeneca</t>
        </is>
      </c>
      <c r="B30" s="9" t="inlineStr">
        <is>
          <t>CVRM</t>
        </is>
      </c>
      <c r="C30" s="9" t="inlineStr">
        <is>
          <t>Renal &amp; metabolic</t>
        </is>
      </c>
      <c r="D30" s="9" t="inlineStr">
        <is>
          <t>balcinrenone / dapagliflozin</t>
        </is>
      </c>
      <c r="E30" s="9" t="inlineStr">
        <is>
          <t>Phase III</t>
        </is>
      </c>
      <c r="F30" s="9" t="inlineStr">
        <is>
          <t>Mineralocorticoid receptor modulator plus SGLT2 inhibitor</t>
        </is>
      </c>
      <c r="G30" s="9" t="inlineStr">
        <is>
          <t>CKD and heart failure with CKD</t>
        </is>
      </c>
      <c r="H30" s="9" t="inlineStr">
        <is>
          <t>2026-02-10</t>
        </is>
      </c>
      <c r="I30" s="9" t="inlineStr">
        <is>
          <t>https://www.astrazeneca.com/content/dam/az/Investor_Relations/annual-report-2025/pdf/AstraZeneca_Development_Pipeline_2025.pdf</t>
        </is>
      </c>
      <c r="J30" s="10" t="inlineStr"/>
      <c r="K30" t="inlineStr">
        <is>
          <t>Farxiga / Forxiga</t>
        </is>
      </c>
      <c r="L30" t="inlineStr">
        <is>
          <t>Marketed component: dapagliflozin</t>
        </is>
      </c>
      <c r="M30" t="inlineStr">
        <is>
          <t>FARXIGA</t>
        </is>
      </c>
    </row>
    <row r="31" ht="45" customHeight="1">
      <c r="A31" s="8" t="inlineStr">
        <is>
          <t>AstraZeneca</t>
        </is>
      </c>
      <c r="B31" s="9" t="inlineStr">
        <is>
          <t>CVRM</t>
        </is>
      </c>
      <c r="C31" s="9" t="inlineStr">
        <is>
          <t>Renal &amp; metabolic</t>
        </is>
      </c>
      <c r="D31" s="9" t="inlineStr">
        <is>
          <t>elecoglipron (AZD5004)</t>
        </is>
      </c>
      <c r="E31" s="9" t="inlineStr">
        <is>
          <t>Phase II</t>
        </is>
      </c>
      <c r="F31" s="9" t="inlineStr">
        <is>
          <t>Oral GLP-1 receptor agonist</t>
        </is>
      </c>
      <c r="G31" s="9" t="inlineStr">
        <is>
          <t>Type 2 diabetes and chronic weight management</t>
        </is>
      </c>
      <c r="H31" s="9" t="inlineStr">
        <is>
          <t>2026-02-10</t>
        </is>
      </c>
      <c r="I31" s="9" t="inlineStr">
        <is>
          <t>https://www.astrazeneca.com/content/dam/az/Investor_Relations/annual-report-2025/pdf/AstraZeneca_Development_Pipeline_2025.pdf</t>
        </is>
      </c>
      <c r="J31" s="10" t="inlineStr"/>
      <c r="K31" t="inlineStr"/>
      <c r="L31" t="inlineStr"/>
      <c r="M31" t="inlineStr"/>
    </row>
    <row r="32" ht="45" customHeight="1">
      <c r="A32" s="8" t="inlineStr">
        <is>
          <t>AstraZeneca</t>
        </is>
      </c>
      <c r="B32" s="9" t="inlineStr">
        <is>
          <t>CVRM</t>
        </is>
      </c>
      <c r="C32" s="9" t="inlineStr">
        <is>
          <t>Renal &amp; metabolic</t>
        </is>
      </c>
      <c r="D32" s="9" t="inlineStr">
        <is>
          <t>opemalirsen</t>
        </is>
      </c>
      <c r="E32" s="9" t="inlineStr">
        <is>
          <t>Phase II</t>
        </is>
      </c>
      <c r="F32" s="9" t="inlineStr">
        <is>
          <t>Podocyte-health therapeutic</t>
        </is>
      </c>
      <c r="G32" s="9" t="inlineStr">
        <is>
          <t>Nephropathy</t>
        </is>
      </c>
      <c r="H32" s="9" t="inlineStr">
        <is>
          <t>2026-02-10</t>
        </is>
      </c>
      <c r="I32" s="9" t="inlineStr">
        <is>
          <t>https://www.astrazeneca.com/content/dam/az/Investor_Relations/annual-report-2025/pdf/AstraZeneca_Development_Pipeline_2025.pdf</t>
        </is>
      </c>
      <c r="J32" s="10" t="inlineStr"/>
      <c r="K32" t="inlineStr"/>
      <c r="L32" t="inlineStr"/>
      <c r="M32" t="inlineStr"/>
    </row>
    <row r="33" ht="45" customHeight="1">
      <c r="A33" s="8" t="inlineStr">
        <is>
          <t>AstraZeneca</t>
        </is>
      </c>
      <c r="B33" s="9" t="inlineStr">
        <is>
          <t>CVRM</t>
        </is>
      </c>
      <c r="C33" s="9" t="inlineStr">
        <is>
          <t>Renal &amp; metabolic</t>
        </is>
      </c>
      <c r="D33" s="9" t="inlineStr">
        <is>
          <t>zibotentan / dapagliflozin</t>
        </is>
      </c>
      <c r="E33" s="9" t="inlineStr">
        <is>
          <t>Phase III</t>
        </is>
      </c>
      <c r="F33" s="9" t="inlineStr">
        <is>
          <t>Endothelin-A receptor antagonist plus SGLT2 inhibitor</t>
        </is>
      </c>
      <c r="G33" s="9" t="inlineStr">
        <is>
          <t>CKD with high proteinuria</t>
        </is>
      </c>
      <c r="H33" s="9" t="inlineStr">
        <is>
          <t>2026-02-10</t>
        </is>
      </c>
      <c r="I33" s="9" t="inlineStr">
        <is>
          <t>https://www.astrazeneca.com/content/dam/az/Investor_Relations/annual-report-2025/pdf/AstraZeneca_Development_Pipeline_2025.pdf</t>
        </is>
      </c>
      <c r="J33" s="10" t="inlineStr"/>
      <c r="K33" t="inlineStr">
        <is>
          <t>Farxiga / Forxiga</t>
        </is>
      </c>
      <c r="L33" t="inlineStr">
        <is>
          <t>Marketed component: dapagliflozin</t>
        </is>
      </c>
      <c r="M33" t="inlineStr">
        <is>
          <t>FARXIGA</t>
        </is>
      </c>
    </row>
    <row r="34" ht="45" customHeight="1">
      <c r="A34" s="8" t="inlineStr">
        <is>
          <t>AstraZeneca</t>
        </is>
      </c>
      <c r="B34" s="9" t="inlineStr">
        <is>
          <t>Rare Disease</t>
        </is>
      </c>
      <c r="C34" s="9" t="inlineStr">
        <is>
          <t>Rare disease</t>
        </is>
      </c>
      <c r="D34" s="9" t="inlineStr">
        <is>
          <t>ALXN1920</t>
        </is>
      </c>
      <c r="E34" s="9" t="inlineStr">
        <is>
          <t>Phase II</t>
        </is>
      </c>
      <c r="F34" s="9" t="inlineStr">
        <is>
          <t>Kidney-targeted factor H fusion protein</t>
        </is>
      </c>
      <c r="G34" s="9" t="inlineStr">
        <is>
          <t>Primary membranous nephropathy</t>
        </is>
      </c>
      <c r="H34" s="9" t="inlineStr">
        <is>
          <t>2026-02-10</t>
        </is>
      </c>
      <c r="I34" s="9" t="inlineStr">
        <is>
          <t>https://www.astrazeneca.com/content/dam/az/Investor_Relations/annual-report-2025/pdf/AstraZeneca_Development_Pipeline_2025.pdf</t>
        </is>
      </c>
      <c r="J34" s="10" t="inlineStr"/>
      <c r="K34" t="inlineStr"/>
      <c r="L34" t="inlineStr"/>
      <c r="M34" t="inlineStr"/>
    </row>
    <row r="35" ht="45" customHeight="1">
      <c r="A35" s="8" t="inlineStr">
        <is>
          <t>AstraZeneca</t>
        </is>
      </c>
      <c r="B35" s="9" t="inlineStr">
        <is>
          <t>Rare Disease</t>
        </is>
      </c>
      <c r="C35" s="9" t="inlineStr">
        <is>
          <t>Rare disease</t>
        </is>
      </c>
      <c r="D35" s="9" t="inlineStr">
        <is>
          <t>ALXN2030</t>
        </is>
      </c>
      <c r="E35" s="9" t="inlineStr">
        <is>
          <t>Phase II</t>
        </is>
      </c>
      <c r="F35" s="9" t="inlineStr">
        <is>
          <t>Complement C3-targeting siRNA</t>
        </is>
      </c>
      <c r="G35" s="9" t="inlineStr">
        <is>
          <t>Antibody-mediated rejection</t>
        </is>
      </c>
      <c r="H35" s="9" t="inlineStr">
        <is>
          <t>2026-02-10</t>
        </is>
      </c>
      <c r="I35" s="9" t="inlineStr">
        <is>
          <t>https://www.astrazeneca.com/content/dam/az/Investor_Relations/annual-report-2025/pdf/AstraZeneca_Development_Pipeline_2025.pdf</t>
        </is>
      </c>
      <c r="J35" s="10" t="inlineStr"/>
      <c r="K35" t="inlineStr"/>
      <c r="L35" t="inlineStr"/>
      <c r="M35" t="inlineStr"/>
    </row>
    <row r="36" ht="45" customHeight="1">
      <c r="A36" s="8" t="inlineStr">
        <is>
          <t>AstraZeneca</t>
        </is>
      </c>
      <c r="B36" s="9" t="inlineStr">
        <is>
          <t>Rare Disease</t>
        </is>
      </c>
      <c r="C36" s="9" t="inlineStr">
        <is>
          <t>Rare disease</t>
        </is>
      </c>
      <c r="D36" s="9" t="inlineStr">
        <is>
          <t>ALXN2420</t>
        </is>
      </c>
      <c r="E36" s="9" t="inlineStr">
        <is>
          <t>Phase II</t>
        </is>
      </c>
      <c r="F36" s="9" t="inlineStr">
        <is>
          <t>Growth hormone receptor antagonist</t>
        </is>
      </c>
      <c r="G36" s="9" t="inlineStr">
        <is>
          <t>Acromegaly</t>
        </is>
      </c>
      <c r="H36" s="9" t="inlineStr">
        <is>
          <t>2026-02-10</t>
        </is>
      </c>
      <c r="I36" s="9" t="inlineStr">
        <is>
          <t>https://www.astrazeneca.com/content/dam/az/Investor_Relations/annual-report-2025/pdf/AstraZeneca_Development_Pipeline_2025.pdf</t>
        </is>
      </c>
      <c r="J36" s="10" t="inlineStr"/>
      <c r="K36" t="inlineStr"/>
      <c r="L36" t="inlineStr"/>
      <c r="M36" t="inlineStr"/>
    </row>
    <row r="37" ht="45" customHeight="1">
      <c r="A37" s="8" t="inlineStr">
        <is>
          <t>AstraZeneca</t>
        </is>
      </c>
      <c r="B37" s="9" t="inlineStr">
        <is>
          <t>Rare Disease</t>
        </is>
      </c>
      <c r="C37" s="9" t="inlineStr">
        <is>
          <t>Rare disease</t>
        </is>
      </c>
      <c r="D37" s="9" t="inlineStr">
        <is>
          <t>tarperprumig</t>
        </is>
      </c>
      <c r="E37" s="9" t="inlineStr">
        <is>
          <t>Phase II</t>
        </is>
      </c>
      <c r="F37" s="9" t="inlineStr">
        <is>
          <t>Kinase inhibitor</t>
        </is>
      </c>
      <c r="G37" s="9" t="inlineStr">
        <is>
          <t>ANCA-associated vasculitis</t>
        </is>
      </c>
      <c r="H37" s="9" t="inlineStr">
        <is>
          <t>2026-02-10</t>
        </is>
      </c>
      <c r="I37" s="9" t="inlineStr">
        <is>
          <t>https://www.astrazeneca.com/content/dam/az/Investor_Relations/annual-report-2025/pdf/AstraZeneca_Development_Pipeline_2025.pdf</t>
        </is>
      </c>
      <c r="J37" s="10" t="inlineStr"/>
      <c r="K37" t="inlineStr"/>
      <c r="L37" t="inlineStr"/>
      <c r="M37" t="inlineStr"/>
    </row>
    <row r="38" ht="45" customHeight="1">
      <c r="A38" s="8" t="inlineStr">
        <is>
          <t>AstraZeneca</t>
        </is>
      </c>
      <c r="B38" s="9" t="inlineStr">
        <is>
          <t>Rare Disease</t>
        </is>
      </c>
      <c r="C38" s="9" t="inlineStr">
        <is>
          <t>Rare disease</t>
        </is>
      </c>
      <c r="D38" s="9" t="inlineStr">
        <is>
          <t>anselamimab</t>
        </is>
      </c>
      <c r="E38" s="9" t="inlineStr">
        <is>
          <t>Phase III / registration</t>
        </is>
      </c>
      <c r="F38" s="9" t="inlineStr">
        <is>
          <t>Fibril-reactive monoclonal antibody</t>
        </is>
      </c>
      <c r="G38" s="9" t="inlineStr">
        <is>
          <t>AL amyloidosis</t>
        </is>
      </c>
      <c r="H38" s="9" t="inlineStr">
        <is>
          <t>2026-02-10</t>
        </is>
      </c>
      <c r="I38" s="9" t="inlineStr">
        <is>
          <t>https://www.astrazeneca.com/content/dam/az/Investor_Relations/annual-report-2025/pdf/AstraZeneca_Development_Pipeline_2025.pdf</t>
        </is>
      </c>
      <c r="J38" s="10" t="inlineStr"/>
      <c r="K38" t="inlineStr"/>
      <c r="L38" t="inlineStr"/>
      <c r="M38" t="inlineStr"/>
    </row>
    <row r="39" ht="45" customHeight="1">
      <c r="A39" s="8" t="inlineStr">
        <is>
          <t>AstraZeneca</t>
        </is>
      </c>
      <c r="B39" s="9" t="inlineStr">
        <is>
          <t>Rare Disease</t>
        </is>
      </c>
      <c r="C39" s="9" t="inlineStr">
        <is>
          <t>Rare disease</t>
        </is>
      </c>
      <c r="D39" s="9" t="inlineStr">
        <is>
          <t>cliramitug</t>
        </is>
      </c>
      <c r="E39" s="9" t="inlineStr">
        <is>
          <t>Phase III</t>
        </is>
      </c>
      <c r="F39" s="9" t="inlineStr">
        <is>
          <t>Transthyretin depleter</t>
        </is>
      </c>
      <c r="G39" s="9" t="inlineStr">
        <is>
          <t>Transthyretin amyloid cardiomyopathy</t>
        </is>
      </c>
      <c r="H39" s="9" t="inlineStr">
        <is>
          <t>2026-02-10</t>
        </is>
      </c>
      <c r="I39" s="9" t="inlineStr">
        <is>
          <t>https://www.astrazeneca.com/content/dam/az/Investor_Relations/annual-report-2025/pdf/AstraZeneca_Development_Pipeline_2025.pdf</t>
        </is>
      </c>
      <c r="J39" s="10" t="inlineStr"/>
      <c r="K39" t="inlineStr"/>
      <c r="L39" t="inlineStr"/>
      <c r="M39" t="inlineStr"/>
    </row>
    <row r="40" ht="45" customHeight="1">
      <c r="A40" s="8" t="inlineStr">
        <is>
          <t>AstraZeneca</t>
        </is>
      </c>
      <c r="B40" s="9" t="inlineStr">
        <is>
          <t>Rare Disease</t>
        </is>
      </c>
      <c r="C40" s="9" t="inlineStr">
        <is>
          <t>Rare disease</t>
        </is>
      </c>
      <c r="D40" s="9" t="inlineStr">
        <is>
          <t>efzimfotase alfa</t>
        </is>
      </c>
      <c r="E40" s="9" t="inlineStr">
        <is>
          <t>Phase III</t>
        </is>
      </c>
      <c r="F40" s="9" t="inlineStr">
        <is>
          <t>Next-generation TNSALP enzyme replacement therapy</t>
        </is>
      </c>
      <c r="G40" s="9" t="inlineStr">
        <is>
          <t>Hypophosphatasia</t>
        </is>
      </c>
      <c r="H40" s="9" t="inlineStr">
        <is>
          <t>2026-02-10</t>
        </is>
      </c>
      <c r="I40" s="9" t="inlineStr">
        <is>
          <t>https://www.astrazeneca.com/content/dam/az/Investor_Relations/annual-report-2025/pdf/AstraZeneca_Development_Pipeline_2025.pdf</t>
        </is>
      </c>
      <c r="J40" s="10" t="inlineStr"/>
      <c r="K40" t="inlineStr"/>
      <c r="L40" t="inlineStr"/>
      <c r="M40" t="inlineStr"/>
    </row>
    <row r="41" ht="45" customHeight="1">
      <c r="A41" s="8" t="inlineStr">
        <is>
          <t>AstraZeneca</t>
        </is>
      </c>
      <c r="B41" s="9" t="inlineStr">
        <is>
          <t>Rare Disease</t>
        </is>
      </c>
      <c r="C41" s="9" t="inlineStr">
        <is>
          <t>Rare disease</t>
        </is>
      </c>
      <c r="D41" s="9" t="inlineStr">
        <is>
          <t>eneboparatide</t>
        </is>
      </c>
      <c r="E41" s="9" t="inlineStr">
        <is>
          <t>Phase III</t>
        </is>
      </c>
      <c r="F41" s="9" t="inlineStr">
        <is>
          <t>Parathyroid hormone receptor 1 agonist</t>
        </is>
      </c>
      <c r="G41" s="9" t="inlineStr">
        <is>
          <t>Hypoparathyroidism</t>
        </is>
      </c>
      <c r="H41" s="9" t="inlineStr">
        <is>
          <t>2026-02-10</t>
        </is>
      </c>
      <c r="I41" s="9" t="inlineStr">
        <is>
          <t>https://www.astrazeneca.com/content/dam/az/Investor_Relations/annual-report-2025/pdf/AstraZeneca_Development_Pipeline_2025.pdf</t>
        </is>
      </c>
      <c r="J41" s="10" t="inlineStr"/>
      <c r="K41" t="inlineStr"/>
      <c r="L41" t="inlineStr"/>
      <c r="M41" t="inlineStr"/>
    </row>
    <row r="42" ht="45" customHeight="1">
      <c r="A42" s="8" t="inlineStr">
        <is>
          <t>AstraZeneca</t>
        </is>
      </c>
      <c r="B42" s="9" t="inlineStr">
        <is>
          <t>Rare Disease</t>
        </is>
      </c>
      <c r="C42" s="9" t="inlineStr">
        <is>
          <t>Rare disease</t>
        </is>
      </c>
      <c r="D42" s="9" t="inlineStr">
        <is>
          <t>gefurulimab</t>
        </is>
      </c>
      <c r="E42" s="9" t="inlineStr">
        <is>
          <t>Phase III / registration</t>
        </is>
      </c>
      <c r="F42" s="9" t="inlineStr">
        <is>
          <t>Dual-binding anti-C5 nanobody</t>
        </is>
      </c>
      <c r="G42" s="9" t="inlineStr">
        <is>
          <t>Generalized myasthenia gravis</t>
        </is>
      </c>
      <c r="H42" s="9" t="inlineStr">
        <is>
          <t>2026-02-10</t>
        </is>
      </c>
      <c r="I42" s="9" t="inlineStr">
        <is>
          <t>https://www.astrazeneca.com/content/dam/az/Investor_Relations/annual-report-2025/pdf/AstraZeneca_Development_Pipeline_2025.pdf</t>
        </is>
      </c>
      <c r="J42" s="10" t="inlineStr"/>
      <c r="K42" t="inlineStr"/>
      <c r="L42" t="inlineStr"/>
      <c r="M42" t="inlineStr"/>
    </row>
    <row r="43" ht="45" customHeight="1">
      <c r="A43" s="8" t="inlineStr">
        <is>
          <t>AstraZeneca</t>
        </is>
      </c>
      <c r="B43" s="9" t="inlineStr">
        <is>
          <t>Vaccines &amp; Immune Therapies</t>
        </is>
      </c>
      <c r="C43" s="9" t="inlineStr">
        <is>
          <t>Infectious disease</t>
        </is>
      </c>
      <c r="D43" s="9" t="inlineStr">
        <is>
          <t>AZD0292</t>
        </is>
      </c>
      <c r="E43" s="9" t="inlineStr">
        <is>
          <t>Phase II</t>
        </is>
      </c>
      <c r="F43" s="9" t="inlineStr">
        <is>
          <t>Pseudomonas Psl/PcrV bispecific antibody</t>
        </is>
      </c>
      <c r="G43" s="9" t="inlineStr">
        <is>
          <t>Bronchiectasis</t>
        </is>
      </c>
      <c r="H43" s="9" t="inlineStr">
        <is>
          <t>2026-02-10</t>
        </is>
      </c>
      <c r="I43" s="9" t="inlineStr">
        <is>
          <t>https://www.astrazeneca.com/content/dam/az/Investor_Relations/annual-report-2025/pdf/AstraZeneca_Development_Pipeline_2025.pdf</t>
        </is>
      </c>
      <c r="J43" s="10" t="inlineStr"/>
      <c r="K43" t="inlineStr"/>
      <c r="L43" t="inlineStr"/>
      <c r="M43" t="inlineStr"/>
    </row>
    <row r="44" ht="45" customHeight="1">
      <c r="A44" s="8" t="inlineStr">
        <is>
          <t>AstraZeneca</t>
        </is>
      </c>
      <c r="B44" s="9" t="inlineStr">
        <is>
          <t>Vaccines &amp; Immune Therapies</t>
        </is>
      </c>
      <c r="C44" s="9" t="inlineStr">
        <is>
          <t>Infectious disease</t>
        </is>
      </c>
      <c r="D44" s="9" t="inlineStr">
        <is>
          <t>AZD5148</t>
        </is>
      </c>
      <c r="E44" s="9" t="inlineStr">
        <is>
          <t>Phase II</t>
        </is>
      </c>
      <c r="F44" s="9" t="inlineStr">
        <is>
          <t>C. difficile TcdB monoclonal antibody</t>
        </is>
      </c>
      <c r="G44" s="9" t="inlineStr">
        <is>
          <t>Reduction of C. difficile recurrence</t>
        </is>
      </c>
      <c r="H44" s="9" t="inlineStr">
        <is>
          <t>2026-02-10</t>
        </is>
      </c>
      <c r="I44" s="9" t="inlineStr">
        <is>
          <t>https://www.astrazeneca.com/content/dam/az/Investor_Relations/annual-report-2025/pdf/AstraZeneca_Development_Pipeline_2025.pdf</t>
        </is>
      </c>
      <c r="J44" s="10" t="inlineStr"/>
      <c r="K44" t="inlineStr"/>
      <c r="L44" t="inlineStr"/>
      <c r="M44" t="inlineStr"/>
    </row>
    <row r="45" ht="45" customHeight="1">
      <c r="A45" s="8" t="inlineStr">
        <is>
          <t>AstraZeneca</t>
        </is>
      </c>
      <c r="B45" s="9" t="inlineStr">
        <is>
          <t>Vaccines &amp; Immune Therapies</t>
        </is>
      </c>
      <c r="C45" s="9" t="inlineStr">
        <is>
          <t>Infectious disease</t>
        </is>
      </c>
      <c r="D45" s="9" t="inlineStr">
        <is>
          <t>AZD7760</t>
        </is>
      </c>
      <c r="E45" s="9" t="inlineStr">
        <is>
          <t>Phase II</t>
        </is>
      </c>
      <c r="F45" s="9" t="inlineStr">
        <is>
          <t>Anti-virulence monoclonal antibody combination</t>
        </is>
      </c>
      <c r="G45" s="9" t="inlineStr">
        <is>
          <t>Prevention of Staphylococcus aureus infection</t>
        </is>
      </c>
      <c r="H45" s="9" t="inlineStr">
        <is>
          <t>2026-02-10</t>
        </is>
      </c>
      <c r="I45" s="9" t="inlineStr">
        <is>
          <t>https://www.astrazeneca.com/content/dam/az/Investor_Relations/annual-report-2025/pdf/AstraZeneca_Development_Pipeline_2025.pdf</t>
        </is>
      </c>
      <c r="J45" s="10" t="inlineStr"/>
      <c r="K45" t="inlineStr"/>
      <c r="L45" t="inlineStr"/>
      <c r="M45" t="inlineStr"/>
    </row>
    <row r="46" ht="45" customHeight="1">
      <c r="A46" s="11" t="inlineStr">
        <is>
          <t>Bristol Myers Squibb</t>
        </is>
      </c>
      <c r="B46" s="9" t="inlineStr">
        <is>
          <t>Oncology</t>
        </is>
      </c>
      <c r="C46" s="9" t="inlineStr">
        <is>
          <t>Solid-tumor oncology</t>
        </is>
      </c>
      <c r="D46" s="9" t="inlineStr">
        <is>
          <t>pumitamig</t>
        </is>
      </c>
      <c r="E46" s="9" t="inlineStr">
        <is>
          <t>Phase III</t>
        </is>
      </c>
      <c r="F46" s="9" t="inlineStr">
        <is>
          <t>PD-L1 x VEGF-A bispecific antibody</t>
        </is>
      </c>
      <c r="G46" s="9" t="inlineStr">
        <is>
          <t>NSCLC, ES-SCLC, TNBC and other solid tumors</t>
        </is>
      </c>
      <c r="H46" s="9" t="inlineStr">
        <is>
          <t>2026-02-05</t>
        </is>
      </c>
      <c r="I46" s="9" t="inlineStr">
        <is>
          <t>https://annual-report.bms.com/assets/bms-ar/documents/2025/2025-bms-development-portfolio.pdf</t>
        </is>
      </c>
      <c r="J46" s="10" t="inlineStr">
        <is>
          <t>Multiple indications counted once under the lead asset.</t>
        </is>
      </c>
      <c r="K46" t="inlineStr"/>
      <c r="L46" t="inlineStr"/>
      <c r="M46" t="inlineStr"/>
    </row>
    <row r="47" ht="45" customHeight="1">
      <c r="A47" s="11" t="inlineStr">
        <is>
          <t>Bristol Myers Squibb</t>
        </is>
      </c>
      <c r="B47" s="9" t="inlineStr">
        <is>
          <t>Oncology</t>
        </is>
      </c>
      <c r="C47" s="9" t="inlineStr">
        <is>
          <t>Solid-tumor oncology</t>
        </is>
      </c>
      <c r="D47" s="9" t="inlineStr">
        <is>
          <t>izalontamab brengitecan (iza-bren)</t>
        </is>
      </c>
      <c r="E47" s="9" t="inlineStr">
        <is>
          <t>Phase II</t>
        </is>
      </c>
      <c r="F47" s="9" t="inlineStr">
        <is>
          <t>EGFR x HER3 bispecific antibody-drug conjugate</t>
        </is>
      </c>
      <c r="G47" s="9" t="inlineStr">
        <is>
          <t>TNBC, EGFR-mutated NSCLC and urothelial cancer</t>
        </is>
      </c>
      <c r="H47" s="9" t="inlineStr">
        <is>
          <t>2026-02-05</t>
        </is>
      </c>
      <c r="I47" s="9" t="inlineStr">
        <is>
          <t>https://annual-report.bms.com/assets/bms-ar/documents/2025/2025-bms-development-portfolio.pdf</t>
        </is>
      </c>
      <c r="J47" s="10" t="inlineStr"/>
      <c r="K47" t="inlineStr"/>
      <c r="L47" t="inlineStr"/>
      <c r="M47" t="inlineStr"/>
    </row>
    <row r="48" ht="45" customHeight="1">
      <c r="A48" s="11" t="inlineStr">
        <is>
          <t>Bristol Myers Squibb</t>
        </is>
      </c>
      <c r="B48" s="9" t="inlineStr">
        <is>
          <t>Oncology</t>
        </is>
      </c>
      <c r="C48" s="9" t="inlineStr">
        <is>
          <t>Solid-tumor oncology</t>
        </is>
      </c>
      <c r="D48" s="9" t="inlineStr">
        <is>
          <t>navlimetostat</t>
        </is>
      </c>
      <c r="E48" s="9" t="inlineStr">
        <is>
          <t>Phase II</t>
        </is>
      </c>
      <c r="F48" s="9" t="inlineStr">
        <is>
          <t>PRMT5 inhibitor</t>
        </is>
      </c>
      <c r="G48" s="9" t="inlineStr">
        <is>
          <t>NSCLC, pancreatic cancer and other solid tumors</t>
        </is>
      </c>
      <c r="H48" s="9" t="inlineStr">
        <is>
          <t>2026-02-05</t>
        </is>
      </c>
      <c r="I48" s="9" t="inlineStr">
        <is>
          <t>https://annual-report.bms.com/assets/bms-ar/documents/2025/2025-bms-development-portfolio.pdf</t>
        </is>
      </c>
      <c r="J48" s="10" t="inlineStr"/>
      <c r="K48" t="inlineStr"/>
      <c r="L48" t="inlineStr"/>
      <c r="M48" t="inlineStr"/>
    </row>
    <row r="49" ht="45" customHeight="1">
      <c r="A49" s="11" t="inlineStr">
        <is>
          <t>Bristol Myers Squibb</t>
        </is>
      </c>
      <c r="B49" s="9" t="inlineStr">
        <is>
          <t>Oncology</t>
        </is>
      </c>
      <c r="C49" s="9" t="inlineStr">
        <is>
          <t>Solid-tumor oncology</t>
        </is>
      </c>
      <c r="D49" s="9" t="inlineStr">
        <is>
          <t>AR ligand-directed degrader</t>
        </is>
      </c>
      <c r="E49" s="9" t="inlineStr">
        <is>
          <t>Phase III</t>
        </is>
      </c>
      <c r="F49" s="9" t="inlineStr">
        <is>
          <t>Androgen receptor ligand-directed degrader</t>
        </is>
      </c>
      <c r="G49" s="9" t="inlineStr">
        <is>
          <t>Metastatic castration-resistant prostate cancer</t>
        </is>
      </c>
      <c r="H49" s="9" t="inlineStr">
        <is>
          <t>2026-02-05</t>
        </is>
      </c>
      <c r="I49" s="9" t="inlineStr">
        <is>
          <t>https://annual-report.bms.com/assets/bms-ar/documents/2025/2025-bms-development-portfolio.pdf</t>
        </is>
      </c>
      <c r="J49" s="10" t="inlineStr"/>
      <c r="K49" t="inlineStr"/>
      <c r="L49" t="inlineStr"/>
      <c r="M49" t="inlineStr"/>
    </row>
    <row r="50" ht="45" customHeight="1">
      <c r="A50" s="11" t="inlineStr">
        <is>
          <t>Bristol Myers Squibb</t>
        </is>
      </c>
      <c r="B50" s="9" t="inlineStr">
        <is>
          <t>Oncology</t>
        </is>
      </c>
      <c r="C50" s="9" t="inlineStr">
        <is>
          <t>Solid-tumor oncology</t>
        </is>
      </c>
      <c r="D50" s="9" t="inlineStr">
        <is>
          <t>atigotatug + nivolumab</t>
        </is>
      </c>
      <c r="E50" s="9" t="inlineStr">
        <is>
          <t>Phase III</t>
        </is>
      </c>
      <c r="F50" s="9" t="inlineStr">
        <is>
          <t>Investigational immuno-oncology combination</t>
        </is>
      </c>
      <c r="G50" s="9" t="inlineStr">
        <is>
          <t>First-line extensive-stage small-cell lung cancer</t>
        </is>
      </c>
      <c r="H50" s="9" t="inlineStr">
        <is>
          <t>2026-02-05</t>
        </is>
      </c>
      <c r="I50" s="9" t="inlineStr">
        <is>
          <t>https://annual-report.bms.com/assets/bms-ar/documents/2025/2025-bms-development-portfolio.pdf</t>
        </is>
      </c>
      <c r="J50" s="10" t="inlineStr"/>
      <c r="K50" t="inlineStr">
        <is>
          <t>Opdivo / Opdivo Qvantig</t>
        </is>
      </c>
      <c r="L50" t="inlineStr">
        <is>
          <t>Marketed component: nivolumab</t>
        </is>
      </c>
      <c r="M50" t="inlineStr">
        <is>
          <t>OPDIVO_FRANCHISE</t>
        </is>
      </c>
    </row>
    <row r="51" ht="45" customHeight="1">
      <c r="A51" s="11" t="inlineStr">
        <is>
          <t>Bristol Myers Squibb</t>
        </is>
      </c>
      <c r="B51" s="9" t="inlineStr">
        <is>
          <t>Oncology</t>
        </is>
      </c>
      <c r="C51" s="9" t="inlineStr">
        <is>
          <t>Solid-tumor oncology</t>
        </is>
      </c>
      <c r="D51" s="9" t="inlineStr">
        <is>
          <t>nivolumab + relatlimab HD</t>
        </is>
      </c>
      <c r="E51" s="9" t="inlineStr">
        <is>
          <t>Phase III</t>
        </is>
      </c>
      <c r="F51" s="9" t="inlineStr">
        <is>
          <t>PD-1 plus LAG-3 immuno-oncology combination</t>
        </is>
      </c>
      <c r="G51" s="9" t="inlineStr">
        <is>
          <t>First-line NSCLC with PD-L1 &gt;=1%</t>
        </is>
      </c>
      <c r="H51" s="9" t="inlineStr">
        <is>
          <t>2026-02-05</t>
        </is>
      </c>
      <c r="I51" s="9" t="inlineStr">
        <is>
          <t>https://annual-report.bms.com/assets/bms-ar/documents/2025/2025-bms-development-portfolio.pdf</t>
        </is>
      </c>
      <c r="J51" s="10" t="inlineStr"/>
      <c r="K51" t="inlineStr">
        <is>
          <t>Opdualag</t>
        </is>
      </c>
      <c r="L51" t="inlineStr">
        <is>
          <t>Related marketed fixed-dose combination: nivolumab + relatlimab</t>
        </is>
      </c>
      <c r="M51" t="inlineStr">
        <is>
          <t>OPDUALAG | OPDIVO_FRANCHISE</t>
        </is>
      </c>
    </row>
    <row r="52" ht="45" customHeight="1">
      <c r="A52" s="11" t="inlineStr">
        <is>
          <t>Bristol Myers Squibb</t>
        </is>
      </c>
      <c r="B52" s="9" t="inlineStr">
        <is>
          <t>Oncology</t>
        </is>
      </c>
      <c r="C52" s="9" t="inlineStr">
        <is>
          <t>Solid-tumor oncology</t>
        </is>
      </c>
      <c r="D52" s="9" t="inlineStr">
        <is>
          <t>RYZ101</t>
        </is>
      </c>
      <c r="E52" s="9" t="inlineStr">
        <is>
          <t>Phase III</t>
        </is>
      </c>
      <c r="F52" s="9" t="inlineStr">
        <is>
          <t>SSTR2-targeted radiopharmaceutical</t>
        </is>
      </c>
      <c r="G52" s="9" t="inlineStr">
        <is>
          <t>SSTR2-positive gastroenteropancreatic neuroendocrine tumors</t>
        </is>
      </c>
      <c r="H52" s="9" t="inlineStr">
        <is>
          <t>2026-02-05</t>
        </is>
      </c>
      <c r="I52" s="9" t="inlineStr">
        <is>
          <t>https://annual-report.bms.com/assets/bms-ar/documents/2025/2025-bms-development-portfolio.pdf</t>
        </is>
      </c>
      <c r="J52" s="10" t="inlineStr"/>
      <c r="K52" t="inlineStr"/>
      <c r="L52" t="inlineStr"/>
      <c r="M52" t="inlineStr"/>
    </row>
    <row r="53" ht="45" customHeight="1">
      <c r="A53" s="11" t="inlineStr">
        <is>
          <t>Bristol Myers Squibb</t>
        </is>
      </c>
      <c r="B53" s="9" t="inlineStr">
        <is>
          <t>Hematology</t>
        </is>
      </c>
      <c r="C53" s="9" t="inlineStr">
        <is>
          <t>Hematology</t>
        </is>
      </c>
      <c r="D53" s="9" t="inlineStr">
        <is>
          <t>arlo-cel</t>
        </is>
      </c>
      <c r="E53" s="9" t="inlineStr">
        <is>
          <t>Phase III</t>
        </is>
      </c>
      <c r="F53" s="9" t="inlineStr">
        <is>
          <t>GPRC5D-directed autologous CAR-T</t>
        </is>
      </c>
      <c r="G53" s="9" t="inlineStr">
        <is>
          <t>Multiple myeloma</t>
        </is>
      </c>
      <c r="H53" s="9" t="inlineStr">
        <is>
          <t>2026-02-05</t>
        </is>
      </c>
      <c r="I53" s="9" t="inlineStr">
        <is>
          <t>https://annual-report.bms.com/assets/bms-ar/documents/2025/2025-bms-development-portfolio.pdf</t>
        </is>
      </c>
      <c r="J53" s="10" t="inlineStr"/>
      <c r="K53" t="inlineStr"/>
      <c r="L53" t="inlineStr"/>
      <c r="M53" t="inlineStr"/>
    </row>
    <row r="54" ht="45" customHeight="1">
      <c r="A54" s="11" t="inlineStr">
        <is>
          <t>Bristol Myers Squibb</t>
        </is>
      </c>
      <c r="B54" s="9" t="inlineStr">
        <is>
          <t>Hematology</t>
        </is>
      </c>
      <c r="C54" s="9" t="inlineStr">
        <is>
          <t>Hematology</t>
        </is>
      </c>
      <c r="D54" s="9" t="inlineStr">
        <is>
          <t>golcadomide</t>
        </is>
      </c>
      <c r="E54" s="9" t="inlineStr">
        <is>
          <t>Phase III</t>
        </is>
      </c>
      <c r="F54" s="9" t="inlineStr">
        <is>
          <t>CELMoD / targeted protein degradation</t>
        </is>
      </c>
      <c r="G54" s="9" t="inlineStr">
        <is>
          <t>Follicular lymphoma and high-risk large B-cell lymphoma</t>
        </is>
      </c>
      <c r="H54" s="9" t="inlineStr">
        <is>
          <t>2026-02-05</t>
        </is>
      </c>
      <c r="I54" s="9" t="inlineStr">
        <is>
          <t>https://annual-report.bms.com/assets/bms-ar/documents/2025/2025-bms-development-portfolio.pdf</t>
        </is>
      </c>
      <c r="J54" s="10" t="inlineStr"/>
      <c r="K54" t="inlineStr"/>
      <c r="L54" t="inlineStr"/>
      <c r="M54" t="inlineStr"/>
    </row>
    <row r="55" ht="45" customHeight="1">
      <c r="A55" s="11" t="inlineStr">
        <is>
          <t>Bristol Myers Squibb</t>
        </is>
      </c>
      <c r="B55" s="9" t="inlineStr">
        <is>
          <t>Hematology</t>
        </is>
      </c>
      <c r="C55" s="9" t="inlineStr">
        <is>
          <t>Hematology</t>
        </is>
      </c>
      <c r="D55" s="9" t="inlineStr">
        <is>
          <t>iberdomide</t>
        </is>
      </c>
      <c r="E55" s="9" t="inlineStr">
        <is>
          <t>Phase III</t>
        </is>
      </c>
      <c r="F55" s="9" t="inlineStr">
        <is>
          <t>CELMoD / targeted protein degradation</t>
        </is>
      </c>
      <c r="G55" s="9" t="inlineStr">
        <is>
          <t>Multiple myeloma</t>
        </is>
      </c>
      <c r="H55" s="9" t="inlineStr">
        <is>
          <t>2026-02-05</t>
        </is>
      </c>
      <c r="I55" s="9" t="inlineStr">
        <is>
          <t>https://annual-report.bms.com/assets/bms-ar/documents/2025/2025-bms-development-portfolio.pdf</t>
        </is>
      </c>
      <c r="J55" s="10" t="inlineStr"/>
      <c r="K55" t="inlineStr"/>
      <c r="L55" t="inlineStr"/>
      <c r="M55" t="inlineStr"/>
    </row>
    <row r="56" ht="45" customHeight="1">
      <c r="A56" s="11" t="inlineStr">
        <is>
          <t>Bristol Myers Squibb</t>
        </is>
      </c>
      <c r="B56" s="9" t="inlineStr">
        <is>
          <t>Hematology</t>
        </is>
      </c>
      <c r="C56" s="9" t="inlineStr">
        <is>
          <t>Hematology</t>
        </is>
      </c>
      <c r="D56" s="9" t="inlineStr">
        <is>
          <t>mezigdomide</t>
        </is>
      </c>
      <c r="E56" s="9" t="inlineStr">
        <is>
          <t>Phase III / registration</t>
        </is>
      </c>
      <c r="F56" s="9" t="inlineStr">
        <is>
          <t>CELMoD / targeted protein degradation</t>
        </is>
      </c>
      <c r="G56" s="9" t="inlineStr">
        <is>
          <t>Relapsed/refractory multiple myeloma</t>
        </is>
      </c>
      <c r="H56" s="9" t="inlineStr">
        <is>
          <t>2026-02-05</t>
        </is>
      </c>
      <c r="I56" s="9" t="inlineStr">
        <is>
          <t>https://annual-report.bms.com/assets/bms-ar/documents/2025/2025-bms-development-portfolio.pdf</t>
        </is>
      </c>
      <c r="J56" s="10" t="inlineStr"/>
      <c r="K56" t="inlineStr"/>
      <c r="L56" t="inlineStr"/>
      <c r="M56" t="inlineStr"/>
    </row>
    <row r="57" ht="45" customHeight="1">
      <c r="A57" s="11" t="inlineStr">
        <is>
          <t>Bristol Myers Squibb</t>
        </is>
      </c>
      <c r="B57" s="9" t="inlineStr">
        <is>
          <t>Immunology</t>
        </is>
      </c>
      <c r="C57" s="9" t="inlineStr">
        <is>
          <t>Immunology, respiratory &amp; fibrosis</t>
        </is>
      </c>
      <c r="D57" s="9" t="inlineStr">
        <is>
          <t>zola-cel (CD19 NEX-T)</t>
        </is>
      </c>
      <c r="E57" s="9" t="inlineStr">
        <is>
          <t>Phase III</t>
        </is>
      </c>
      <c r="F57" s="9" t="inlineStr">
        <is>
          <t>CD19-directed CAR-T cell therapy</t>
        </is>
      </c>
      <c r="G57" s="9" t="inlineStr">
        <is>
          <t>Systemic lupus erythematosus and systemic sclerosis</t>
        </is>
      </c>
      <c r="H57" s="9" t="inlineStr">
        <is>
          <t>2026-02-05</t>
        </is>
      </c>
      <c r="I57" s="9" t="inlineStr">
        <is>
          <t>https://annual-report.bms.com/assets/bms-ar/documents/2025/2025-bms-development-portfolio.pdf</t>
        </is>
      </c>
      <c r="J57" s="10" t="inlineStr"/>
      <c r="K57" t="inlineStr"/>
      <c r="L57" t="inlineStr"/>
      <c r="M57" t="inlineStr"/>
    </row>
    <row r="58" ht="45" customHeight="1">
      <c r="A58" s="11" t="inlineStr">
        <is>
          <t>Bristol Myers Squibb</t>
        </is>
      </c>
      <c r="B58" s="9" t="inlineStr">
        <is>
          <t>Immunology</t>
        </is>
      </c>
      <c r="C58" s="9" t="inlineStr">
        <is>
          <t>Immunology, respiratory &amp; fibrosis</t>
        </is>
      </c>
      <c r="D58" s="9" t="inlineStr">
        <is>
          <t>admilparant</t>
        </is>
      </c>
      <c r="E58" s="9" t="inlineStr">
        <is>
          <t>Phase III</t>
        </is>
      </c>
      <c r="F58" s="9" t="inlineStr">
        <is>
          <t>Oral LPA1 antagonist</t>
        </is>
      </c>
      <c r="G58" s="9" t="inlineStr">
        <is>
          <t>Idiopathic and progressive pulmonary fibrosis</t>
        </is>
      </c>
      <c r="H58" s="9" t="inlineStr">
        <is>
          <t>2026-02-05</t>
        </is>
      </c>
      <c r="I58" s="9" t="inlineStr">
        <is>
          <t>https://annual-report.bms.com/assets/bms-ar/documents/2025/2025-bms-development-portfolio.pdf</t>
        </is>
      </c>
      <c r="J58" s="10" t="inlineStr"/>
      <c r="K58" t="inlineStr"/>
      <c r="L58" t="inlineStr"/>
      <c r="M58" t="inlineStr"/>
    </row>
    <row r="59" ht="45" customHeight="1">
      <c r="A59" s="11" t="inlineStr">
        <is>
          <t>Bristol Myers Squibb</t>
        </is>
      </c>
      <c r="B59" s="9" t="inlineStr">
        <is>
          <t>Immunology</t>
        </is>
      </c>
      <c r="C59" s="9" t="inlineStr">
        <is>
          <t>Immunology, respiratory &amp; fibrosis</t>
        </is>
      </c>
      <c r="D59" s="9" t="inlineStr">
        <is>
          <t>obexelimab</t>
        </is>
      </c>
      <c r="E59" s="9" t="inlineStr">
        <is>
          <t>Phase III</t>
        </is>
      </c>
      <c r="F59" s="9" t="inlineStr">
        <is>
          <t>B-cell-directed monoclonal antibody</t>
        </is>
      </c>
      <c r="G59" s="9" t="inlineStr">
        <is>
          <t>IgG4-related disease</t>
        </is>
      </c>
      <c r="H59" s="9" t="inlineStr">
        <is>
          <t>2026-02-05</t>
        </is>
      </c>
      <c r="I59" s="9" t="inlineStr">
        <is>
          <t>https://annual-report.bms.com/assets/bms-ar/documents/2025/2025-bms-development-portfolio.pdf</t>
        </is>
      </c>
      <c r="J59" s="10" t="inlineStr"/>
      <c r="K59" t="inlineStr"/>
      <c r="L59" t="inlineStr"/>
      <c r="M59" t="inlineStr"/>
    </row>
    <row r="60" ht="45" customHeight="1">
      <c r="A60" s="11" t="inlineStr">
        <is>
          <t>Bristol Myers Squibb</t>
        </is>
      </c>
      <c r="B60" s="9" t="inlineStr">
        <is>
          <t>Cardiovascular</t>
        </is>
      </c>
      <c r="C60" s="9" t="inlineStr">
        <is>
          <t>Cardiovascular</t>
        </is>
      </c>
      <c r="D60" s="9" t="inlineStr">
        <is>
          <t>MYK-224</t>
        </is>
      </c>
      <c r="E60" s="9" t="inlineStr">
        <is>
          <t>Phase II</t>
        </is>
      </c>
      <c r="F60" s="9" t="inlineStr">
        <is>
          <t>Cardiac myosin inhibitor</t>
        </is>
      </c>
      <c r="G60" s="9" t="inlineStr">
        <is>
          <t>Heart failure with preserved ejection fraction</t>
        </is>
      </c>
      <c r="H60" s="9" t="inlineStr">
        <is>
          <t>2026-02-05</t>
        </is>
      </c>
      <c r="I60" s="9" t="inlineStr">
        <is>
          <t>https://annual-report.bms.com/assets/bms-ar/documents/2025/2025-bms-development-portfolio.pdf</t>
        </is>
      </c>
      <c r="J60" s="10" t="inlineStr"/>
      <c r="K60" t="inlineStr"/>
      <c r="L60" t="inlineStr"/>
      <c r="M60" t="inlineStr"/>
    </row>
    <row r="61" ht="45" customHeight="1">
      <c r="A61" s="11" t="inlineStr">
        <is>
          <t>Bristol Myers Squibb</t>
        </is>
      </c>
      <c r="B61" s="9" t="inlineStr">
        <is>
          <t>Cardiovascular</t>
        </is>
      </c>
      <c r="C61" s="9" t="inlineStr">
        <is>
          <t>Cardiovascular</t>
        </is>
      </c>
      <c r="D61" s="9" t="inlineStr">
        <is>
          <t>milvexian</t>
        </is>
      </c>
      <c r="E61" s="9" t="inlineStr">
        <is>
          <t>Phase III</t>
        </is>
      </c>
      <c r="F61" s="9" t="inlineStr">
        <is>
          <t>Factor XIa inhibitor</t>
        </is>
      </c>
      <c r="G61" s="9" t="inlineStr">
        <is>
          <t>Atrial fibrillation and secondary stroke prevention</t>
        </is>
      </c>
      <c r="H61" s="9" t="inlineStr">
        <is>
          <t>2026-02-05</t>
        </is>
      </c>
      <c r="I61" s="9" t="inlineStr">
        <is>
          <t>https://annual-report.bms.com/assets/bms-ar/documents/2025/2025-bms-development-portfolio.pdf</t>
        </is>
      </c>
      <c r="J61" s="10" t="inlineStr"/>
      <c r="K61" t="inlineStr"/>
      <c r="L61" t="inlineStr"/>
      <c r="M61" t="inlineStr"/>
    </row>
    <row r="62" ht="45" customHeight="1">
      <c r="A62" s="11" t="inlineStr">
        <is>
          <t>Bristol Myers Squibb</t>
        </is>
      </c>
      <c r="B62" s="9" t="inlineStr">
        <is>
          <t>Neuroscience</t>
        </is>
      </c>
      <c r="C62" s="9" t="inlineStr">
        <is>
          <t>Neuroscience</t>
        </is>
      </c>
      <c r="D62" s="9" t="inlineStr">
        <is>
          <t>anti-MTBR tau</t>
        </is>
      </c>
      <c r="E62" s="9" t="inlineStr">
        <is>
          <t>Phase II</t>
        </is>
      </c>
      <c r="F62" s="9" t="inlineStr">
        <is>
          <t>Tau-targeting monoclonal antibody</t>
        </is>
      </c>
      <c r="G62" s="9" t="inlineStr">
        <is>
          <t>Alzheimer's disease</t>
        </is>
      </c>
      <c r="H62" s="9" t="inlineStr">
        <is>
          <t>2026-02-05</t>
        </is>
      </c>
      <c r="I62" s="9" t="inlineStr">
        <is>
          <t>https://annual-report.bms.com/assets/bms-ar/documents/2025/2025-bms-development-portfolio.pdf</t>
        </is>
      </c>
      <c r="J62" s="10" t="inlineStr"/>
      <c r="K62" t="inlineStr"/>
      <c r="L62" t="inlineStr"/>
      <c r="M62" t="inlineStr"/>
    </row>
    <row r="63" ht="45" customHeight="1">
      <c r="A63" s="11" t="inlineStr">
        <is>
          <t>Bristol Myers Squibb</t>
        </is>
      </c>
      <c r="B63" s="9" t="inlineStr">
        <is>
          <t>Neuroscience</t>
        </is>
      </c>
      <c r="C63" s="9" t="inlineStr">
        <is>
          <t>Neuroscience</t>
        </is>
      </c>
      <c r="D63" s="9" t="inlineStr">
        <is>
          <t>FAAH/MAGL dual inhibitor</t>
        </is>
      </c>
      <c r="E63" s="9" t="inlineStr">
        <is>
          <t>Phase II</t>
        </is>
      </c>
      <c r="F63" s="9" t="inlineStr">
        <is>
          <t>Small-molecule dual enzyme inhibitor</t>
        </is>
      </c>
      <c r="G63" s="9" t="inlineStr">
        <is>
          <t>Alzheimer's disease agitation and multiple-sclerosis spasticity</t>
        </is>
      </c>
      <c r="H63" s="9" t="inlineStr">
        <is>
          <t>2026-02-05</t>
        </is>
      </c>
      <c r="I63" s="9" t="inlineStr">
        <is>
          <t>https://annual-report.bms.com/assets/bms-ar/documents/2025/2025-bms-development-portfolio.pdf</t>
        </is>
      </c>
      <c r="J63" s="10" t="inlineStr"/>
      <c r="K63" t="inlineStr"/>
      <c r="L63" t="inlineStr"/>
      <c r="M63" t="inlineStr"/>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I27"/>
  <sheetViews>
    <sheetView showGridLines="0" workbookViewId="0">
      <selection activeCell="A1" sqref="A1"/>
    </sheetView>
  </sheetViews>
  <sheetFormatPr baseColWidth="8" defaultRowHeight="15"/>
  <cols>
    <col width="31" customWidth="1" min="1" max="1"/>
    <col width="27" customWidth="1" min="2" max="2"/>
    <col width="31" customWidth="1" min="3" max="3"/>
    <col width="48" customWidth="1" min="4" max="4"/>
    <col width="50" customWidth="1" min="5" max="5"/>
    <col width="16" customWidth="1" min="6" max="6"/>
    <col width="64" customWidth="1" min="7" max="7"/>
    <col width="45" customWidth="1" min="8" max="8"/>
    <col width="45" customWidth="1" min="9" max="9"/>
  </cols>
  <sheetData>
    <row r="1" ht="32" customHeight="1">
      <c r="A1" s="25" t="inlineStr">
        <is>
          <t>AZ + BMS overlap units - evidence behind bubble counts</t>
        </is>
      </c>
    </row>
    <row r="2" ht="34" customHeight="1">
      <c r="A2" s="26" t="inlineStr">
        <is>
          <t>One row equals one distinct shared territory/class. Bubble counts are formula-driven from this table. Directness is an analyst-coded input: 1 limited, 2 moderate, 3 strong.</t>
        </is>
      </c>
    </row>
    <row r="4" ht="40" customHeight="1">
      <c r="A4" s="27" t="inlineStr">
        <is>
          <t>Disease area</t>
        </is>
      </c>
      <c r="B4" s="27" t="inlineStr">
        <is>
          <t>Factor</t>
        </is>
      </c>
      <c r="C4" s="27" t="inlineStr">
        <is>
          <t>Overlap unit</t>
        </is>
      </c>
      <c r="D4" s="27" t="inlineStr">
        <is>
          <t>AZ evidence / programs</t>
        </is>
      </c>
      <c r="E4" s="27" t="inlineStr">
        <is>
          <t>BMS evidence / programs</t>
        </is>
      </c>
      <c r="F4" s="27" t="inlineStr">
        <is>
          <t>Directness (1-3)</t>
        </is>
      </c>
      <c r="G4" s="27" t="inlineStr">
        <is>
          <t>Rationale</t>
        </is>
      </c>
      <c r="H4" s="27" t="inlineStr">
        <is>
          <t>AZ source URL</t>
        </is>
      </c>
      <c r="I4" s="27" t="inlineStr">
        <is>
          <t>BMS source URL</t>
        </is>
      </c>
    </row>
    <row r="5" ht="62" customHeight="1">
      <c r="A5" s="28" t="inlineStr">
        <is>
          <t>Solid-tumor oncology</t>
        </is>
      </c>
      <c r="B5" s="28" t="inlineStr">
        <is>
          <t>Shared indications</t>
        </is>
      </c>
      <c r="C5" s="28" t="inlineStr">
        <is>
          <t>NSCLC</t>
        </is>
      </c>
      <c r="D5" s="28" t="inlineStr">
        <is>
          <t>IPH5201; rilvegostomig; volrustomig</t>
        </is>
      </c>
      <c r="E5" s="28" t="inlineStr">
        <is>
          <t>pumitamig; iza-bren; navlimetostat; nivolumab + relatlimab HD</t>
        </is>
      </c>
      <c r="F5" s="29" t="n">
        <v>3</v>
      </c>
      <c r="G5" s="28" t="inlineStr">
        <is>
          <t>Multiple programs from both companies are being developed in NSCLC, creating direct disease-level overlap.</t>
        </is>
      </c>
      <c r="H5" s="28" t="inlineStr">
        <is>
          <t>https://www.astrazeneca.com/content/dam/az/Investor_Relations/annual-report-2025/pdf/AstraZeneca_Development_Pipeline_2025.pdf</t>
        </is>
      </c>
      <c r="I5" s="28" t="inlineStr">
        <is>
          <t>https://www.bms.com/assets/bms/us/en-us/pdf/investor-info/doc_presentations/2026/bms-pipeline-february-2026.pdf</t>
        </is>
      </c>
    </row>
    <row r="6" ht="62" customHeight="1">
      <c r="A6" s="28" t="inlineStr">
        <is>
          <t>Solid-tumor oncology</t>
        </is>
      </c>
      <c r="B6" s="28" t="inlineStr">
        <is>
          <t>Shared indications</t>
        </is>
      </c>
      <c r="C6" s="28" t="inlineStr">
        <is>
          <t>Prostate cancer</t>
        </is>
      </c>
      <c r="D6" s="28" t="inlineStr">
        <is>
          <t>FPI-2265; saruparib</t>
        </is>
      </c>
      <c r="E6" s="28" t="inlineStr">
        <is>
          <t>AR ligand-directed degrader</t>
        </is>
      </c>
      <c r="F6" s="29" t="n">
        <v>3</v>
      </c>
      <c r="G6" s="28" t="inlineStr">
        <is>
          <t>Both companies have late-stage prostate-cancer programs, although targets and modalities differ.</t>
        </is>
      </c>
      <c r="H6" s="28" t="inlineStr">
        <is>
          <t>https://www.astrazeneca.com/content/dam/az/Investor_Relations/annual-report-2025/pdf/AstraZeneca_Development_Pipeline_2025.pdf</t>
        </is>
      </c>
      <c r="I6" s="28" t="inlineStr">
        <is>
          <t>https://www.bms.com/assets/bms/us/en-us/pdf/investor-info/doc_presentations/2026/bms-pipeline-february-2026.pdf</t>
        </is>
      </c>
    </row>
    <row r="7" ht="62" customHeight="1">
      <c r="A7" s="28" t="inlineStr">
        <is>
          <t>Solid-tumor oncology</t>
        </is>
      </c>
      <c r="B7" s="28" t="inlineStr">
        <is>
          <t>Shared modalities</t>
        </is>
      </c>
      <c r="C7" s="28" t="inlineStr">
        <is>
          <t>Small-molecule targeted therapy</t>
        </is>
      </c>
      <c r="D7" s="28" t="inlineStr">
        <is>
          <t>AZD9574; camizestrant; saruparib</t>
        </is>
      </c>
      <c r="E7" s="28" t="inlineStr">
        <is>
          <t>navlimetostat; AR ligand-directed degrader</t>
        </is>
      </c>
      <c r="F7" s="30" t="n">
        <v>2</v>
      </c>
      <c r="G7" s="28" t="inlineStr">
        <is>
          <t>Both use oral/small-molecule targeted approaches in solid tumors.</t>
        </is>
      </c>
      <c r="H7" s="28" t="inlineStr">
        <is>
          <t>https://www.astrazeneca.com/content/dam/az/Investor_Relations/annual-report-2025/pdf/AstraZeneca_Development_Pipeline_2025.pdf</t>
        </is>
      </c>
      <c r="I7" s="28" t="inlineStr">
        <is>
          <t>https://www.bms.com/assets/bms/us/en-us/pdf/investor-info/doc_presentations/2026/bms-pipeline-february-2026.pdf</t>
        </is>
      </c>
    </row>
    <row r="8" ht="62" customHeight="1">
      <c r="A8" s="28" t="inlineStr">
        <is>
          <t>Solid-tumor oncology</t>
        </is>
      </c>
      <c r="B8" s="28" t="inlineStr">
        <is>
          <t>Shared modalities</t>
        </is>
      </c>
      <c r="C8" s="28" t="inlineStr">
        <is>
          <t>Bispecific / dual-target biologics</t>
        </is>
      </c>
      <c r="D8" s="28" t="inlineStr">
        <is>
          <t>rilvegostomig; volrustomig</t>
        </is>
      </c>
      <c r="E8" s="28" t="inlineStr">
        <is>
          <t>pumitamig</t>
        </is>
      </c>
      <c r="F8" s="29" t="n">
        <v>3</v>
      </c>
      <c r="G8" s="28" t="inlineStr">
        <is>
          <t>Both have late-stage dual-target immuno-oncology biologics.</t>
        </is>
      </c>
      <c r="H8" s="28" t="inlineStr">
        <is>
          <t>https://www.astrazeneca.com/content/dam/az/Investor_Relations/annual-report-2025/pdf/AstraZeneca_Development_Pipeline_2025.pdf</t>
        </is>
      </c>
      <c r="I8" s="28" t="inlineStr">
        <is>
          <t>https://www.bms.com/assets/bms/us/en-us/pdf/investor-info/doc_presentations/2026/bms-pipeline-february-2026.pdf</t>
        </is>
      </c>
    </row>
    <row r="9" ht="62" customHeight="1">
      <c r="A9" s="28" t="inlineStr">
        <is>
          <t>Solid-tumor oncology</t>
        </is>
      </c>
      <c r="B9" s="28" t="inlineStr">
        <is>
          <t>Shared modalities</t>
        </is>
      </c>
      <c r="C9" s="28" t="inlineStr">
        <is>
          <t>Antibody-drug conjugates</t>
        </is>
      </c>
      <c r="D9" s="28" t="inlineStr">
        <is>
          <t>puxitatug samrotecan; sonesitatug vedotin; tilatamig samrotecan; torvutatug samrotecan</t>
        </is>
      </c>
      <c r="E9" s="28" t="inlineStr">
        <is>
          <t>izalontamab brengitecan</t>
        </is>
      </c>
      <c r="F9" s="29" t="n">
        <v>3</v>
      </c>
      <c r="G9" s="28" t="inlineStr">
        <is>
          <t>Both have substantial ADC activity, with AstraZeneca contributing greater breadth.</t>
        </is>
      </c>
      <c r="H9" s="28" t="inlineStr">
        <is>
          <t>https://www.astrazeneca.com/content/dam/az/Investor_Relations/annual-report-2025/pdf/AstraZeneca_Development_Pipeline_2025.pdf</t>
        </is>
      </c>
      <c r="I9" s="28" t="inlineStr">
        <is>
          <t>https://www.bms.com/assets/bms/us/en-us/pdf/investor-info/doc_presentations/2026/bms-pipeline-february-2026.pdf</t>
        </is>
      </c>
    </row>
    <row r="10" ht="62" customHeight="1">
      <c r="A10" s="28" t="inlineStr">
        <is>
          <t>Solid-tumor oncology</t>
        </is>
      </c>
      <c r="B10" s="28" t="inlineStr">
        <is>
          <t>Shared modalities</t>
        </is>
      </c>
      <c r="C10" s="28" t="inlineStr">
        <is>
          <t>Radiopharmaceuticals</t>
        </is>
      </c>
      <c r="D10" s="28" t="inlineStr">
        <is>
          <t>FPI-2265</t>
        </is>
      </c>
      <c r="E10" s="28" t="inlineStr">
        <is>
          <t>RYZ101</t>
        </is>
      </c>
      <c r="F10" s="30" t="n">
        <v>2</v>
      </c>
      <c r="G10" s="28" t="inlineStr">
        <is>
          <t>Both have targeted radiopharmaceutical programs, but in different tumor types and targets.</t>
        </is>
      </c>
      <c r="H10" s="28" t="inlineStr">
        <is>
          <t>https://www.astrazeneca.com/content/dam/az/Investor_Relations/annual-report-2025/pdf/AstraZeneca_Development_Pipeline_2025.pdf</t>
        </is>
      </c>
      <c r="I10" s="28" t="inlineStr">
        <is>
          <t>https://www.bms.com/assets/bms/us/en-us/pdf/investor-info/doc_presentations/2026/bms-pipeline-february-2026.pdf</t>
        </is>
      </c>
    </row>
    <row r="11" ht="62" customHeight="1">
      <c r="A11" s="28" t="inlineStr">
        <is>
          <t>Solid-tumor oncology</t>
        </is>
      </c>
      <c r="B11" s="28" t="inlineStr">
        <is>
          <t>Shared target / mechanism</t>
        </is>
      </c>
      <c r="C11" s="28" t="inlineStr">
        <is>
          <t>PD-(L)1-based immuno-oncology</t>
        </is>
      </c>
      <c r="D11" s="28" t="inlineStr">
        <is>
          <t>rilvegostomig; volrustomig</t>
        </is>
      </c>
      <c r="E11" s="28" t="inlineStr">
        <is>
          <t>pumitamig; nivolumab + relatlimab HD; atigotatug + nivolumab</t>
        </is>
      </c>
      <c r="F11" s="29" t="n">
        <v>3</v>
      </c>
      <c r="G11" s="28" t="inlineStr">
        <is>
          <t>Both portfolios use PD-1/PD-L1-centered combinations or multispecific approaches.</t>
        </is>
      </c>
      <c r="H11" s="28" t="inlineStr">
        <is>
          <t>https://www.astrazeneca.com/content/dam/az/Investor_Relations/annual-report-2025/pdf/AstraZeneca_Development_Pipeline_2025.pdf</t>
        </is>
      </c>
      <c r="I11" s="28" t="inlineStr">
        <is>
          <t>https://www.bms.com/assets/bms/us/en-us/pdf/investor-info/doc_presentations/2026/bms-pipeline-february-2026.pdf</t>
        </is>
      </c>
    </row>
    <row r="12" ht="62" customHeight="1">
      <c r="A12" s="28" t="inlineStr">
        <is>
          <t>Solid-tumor oncology</t>
        </is>
      </c>
      <c r="B12" s="28" t="inlineStr">
        <is>
          <t>Shared target / mechanism</t>
        </is>
      </c>
      <c r="C12" s="28" t="inlineStr">
        <is>
          <t>EGFR-directed therapeutics</t>
        </is>
      </c>
      <c r="D12" s="28" t="inlineStr">
        <is>
          <t>tilatamig samrotecan</t>
        </is>
      </c>
      <c r="E12" s="28" t="inlineStr">
        <is>
          <t>izalontamab brengitecan</t>
        </is>
      </c>
      <c r="F12" s="30" t="n">
        <v>2</v>
      </c>
      <c r="G12" s="28" t="inlineStr">
        <is>
          <t>Both have EGFR-directed ADC programs, paired with different second targets.</t>
        </is>
      </c>
      <c r="H12" s="28" t="inlineStr">
        <is>
          <t>https://www.astrazeneca.com/content/dam/az/Investor_Relations/annual-report-2025/pdf/AstraZeneca_Development_Pipeline_2025.pdf</t>
        </is>
      </c>
      <c r="I12" s="28" t="inlineStr">
        <is>
          <t>https://www.bms.com/assets/bms/us/en-us/pdf/investor-info/doc_presentations/2026/bms-pipeline-february-2026.pdf</t>
        </is>
      </c>
    </row>
    <row r="13" ht="62" customHeight="1">
      <c r="A13" s="28" t="inlineStr">
        <is>
          <t>Solid-tumor oncology</t>
        </is>
      </c>
      <c r="B13" s="28" t="inlineStr">
        <is>
          <t>Stage alignment</t>
        </is>
      </c>
      <c r="C13" s="28" t="inlineStr">
        <is>
          <t>Phase II</t>
        </is>
      </c>
      <c r="D13" s="28" t="inlineStr">
        <is>
          <t>AZD9574; FPI-2265; IPH5201; tilatamig samrotecan</t>
        </is>
      </c>
      <c r="E13" s="28" t="inlineStr">
        <is>
          <t>iza-bren; navlimetostat</t>
        </is>
      </c>
      <c r="F13" s="30" t="n">
        <v>2</v>
      </c>
      <c r="G13" s="28" t="inlineStr">
        <is>
          <t>Both companies have Phase II programs in the disease area.</t>
        </is>
      </c>
      <c r="H13" s="28" t="inlineStr">
        <is>
          <t>https://www.astrazeneca.com/content/dam/az/Investor_Relations/annual-report-2025/pdf/AstraZeneca_Development_Pipeline_2025.pdf</t>
        </is>
      </c>
      <c r="I13" s="28" t="inlineStr">
        <is>
          <t>https://www.bms.com/assets/bms/us/en-us/pdf/investor-info/doc_presentations/2026/bms-pipeline-february-2026.pdf</t>
        </is>
      </c>
    </row>
    <row r="14" ht="62" customHeight="1">
      <c r="A14" s="28" t="inlineStr">
        <is>
          <t>Solid-tumor oncology</t>
        </is>
      </c>
      <c r="B14" s="28" t="inlineStr">
        <is>
          <t>Stage alignment</t>
        </is>
      </c>
      <c r="C14" s="28" t="inlineStr">
        <is>
          <t>Phase III / registration</t>
        </is>
      </c>
      <c r="D14" s="28" t="inlineStr">
        <is>
          <t>camizestrant; puxitatug samrotecan; rilvegostomig; saruparib; sonesitatug vedotin; torvutatug samrotecan; volrustomig</t>
        </is>
      </c>
      <c r="E14" s="28" t="inlineStr">
        <is>
          <t>pumitamig; AR ligand-directed degrader; atigotatug + nivolumab; nivolumab + relatlimab HD; RYZ101</t>
        </is>
      </c>
      <c r="F14" s="29" t="n">
        <v>3</v>
      </c>
      <c r="G14" s="28" t="inlineStr">
        <is>
          <t>Both have broad Phase III/registration portfolios in solid tumors.</t>
        </is>
      </c>
      <c r="H14" s="28" t="inlineStr">
        <is>
          <t>https://www.astrazeneca.com/content/dam/az/Investor_Relations/annual-report-2025/pdf/AstraZeneca_Development_Pipeline_2025.pdf</t>
        </is>
      </c>
      <c r="I14" s="28" t="inlineStr">
        <is>
          <t>https://www.bms.com/assets/bms/us/en-us/pdf/investor-info/doc_presentations/2026/bms-pipeline-february-2026.pdf</t>
        </is>
      </c>
    </row>
    <row r="15" ht="62" customHeight="1">
      <c r="A15" s="28" t="inlineStr">
        <is>
          <t>Hematology</t>
        </is>
      </c>
      <c r="B15" s="28" t="inlineStr">
        <is>
          <t>Shared indications</t>
        </is>
      </c>
      <c r="C15" s="28" t="inlineStr">
        <is>
          <t>Multiple myeloma</t>
        </is>
      </c>
      <c r="D15" s="28" t="inlineStr">
        <is>
          <t>AZD0120; AZD0305</t>
        </is>
      </c>
      <c r="E15" s="28" t="inlineStr">
        <is>
          <t>arlo-cel; iberdomide; mezigdomide</t>
        </is>
      </c>
      <c r="F15" s="29" t="n">
        <v>3</v>
      </c>
      <c r="G15" s="28" t="inlineStr">
        <is>
          <t>Both companies have multiple late-stage programs in multiple myeloma.</t>
        </is>
      </c>
      <c r="H15" s="28" t="inlineStr">
        <is>
          <t>https://www.astrazeneca.com/content/dam/az/Investor_Relations/annual-report-2025/pdf/AstraZeneca_Development_Pipeline_2025.pdf</t>
        </is>
      </c>
      <c r="I15" s="28" t="inlineStr">
        <is>
          <t>https://www.bms.com/assets/bms/us/en-us/pdf/investor-info/doc_presentations/2026/bms-pipeline-february-2026.pdf</t>
        </is>
      </c>
    </row>
    <row r="16" ht="62" customHeight="1">
      <c r="A16" s="28" t="inlineStr">
        <is>
          <t>Hematology</t>
        </is>
      </c>
      <c r="B16" s="28" t="inlineStr">
        <is>
          <t>Shared indications</t>
        </is>
      </c>
      <c r="C16" s="28" t="inlineStr">
        <is>
          <t>B-cell lymphoma</t>
        </is>
      </c>
      <c r="D16" s="28" t="inlineStr">
        <is>
          <t>surovatamig</t>
        </is>
      </c>
      <c r="E16" s="28" t="inlineStr">
        <is>
          <t>golcadomide</t>
        </is>
      </c>
      <c r="F16" s="29" t="n">
        <v>3</v>
      </c>
      <c r="G16" s="28" t="inlineStr">
        <is>
          <t>Both have Phase III programs in B-cell lymphoma territories.</t>
        </is>
      </c>
      <c r="H16" s="28" t="inlineStr">
        <is>
          <t>https://www.astrazeneca.com/content/dam/az/Investor_Relations/annual-report-2025/pdf/AstraZeneca_Development_Pipeline_2025.pdf</t>
        </is>
      </c>
      <c r="I16" s="28" t="inlineStr">
        <is>
          <t>https://www.bms.com/assets/bms/us/en-us/pdf/investor-info/doc_presentations/2026/bms-pipeline-february-2026.pdf</t>
        </is>
      </c>
    </row>
    <row r="17" ht="62" customHeight="1">
      <c r="A17" s="28" t="inlineStr">
        <is>
          <t>Hematology</t>
        </is>
      </c>
      <c r="B17" s="28" t="inlineStr">
        <is>
          <t>Shared modalities</t>
        </is>
      </c>
      <c r="C17" s="28" t="inlineStr">
        <is>
          <t>Cell therapy / CAR-T</t>
        </is>
      </c>
      <c r="D17" s="28" t="inlineStr">
        <is>
          <t>AZD0120</t>
        </is>
      </c>
      <c r="E17" s="28" t="inlineStr">
        <is>
          <t>arlo-cel</t>
        </is>
      </c>
      <c r="F17" s="29" t="n">
        <v>3</v>
      </c>
      <c r="G17" s="28" t="inlineStr">
        <is>
          <t>Both have autologous CAR-T programs in multiple myeloma, with different target configurations.</t>
        </is>
      </c>
      <c r="H17" s="28" t="inlineStr">
        <is>
          <t>https://www.astrazeneca.com/content/dam/az/Investor_Relations/annual-report-2025/pdf/AstraZeneca_Development_Pipeline_2025.pdf</t>
        </is>
      </c>
      <c r="I17" s="28" t="inlineStr">
        <is>
          <t>https://www.bms.com/assets/bms/us/en-us/pdf/investor-info/doc_presentations/2026/bms-pipeline-february-2026.pdf</t>
        </is>
      </c>
    </row>
    <row r="18" ht="62" customHeight="1">
      <c r="A18" s="28" t="inlineStr">
        <is>
          <t>Hematology</t>
        </is>
      </c>
      <c r="B18" s="28" t="inlineStr">
        <is>
          <t>Shared modalities</t>
        </is>
      </c>
      <c r="C18" s="28" t="inlineStr">
        <is>
          <t>Small-molecule targeted therapy</t>
        </is>
      </c>
      <c r="D18" s="28" t="inlineStr">
        <is>
          <t>AZD3470</t>
        </is>
      </c>
      <c r="E18" s="28" t="inlineStr">
        <is>
          <t>golcadomide; iberdomide; mezigdomide</t>
        </is>
      </c>
      <c r="F18" s="30" t="n">
        <v>2</v>
      </c>
      <c r="G18" s="28" t="inlineStr">
        <is>
          <t>Both use small-molecule targeted approaches, but mechanisms and disease emphasis differ.</t>
        </is>
      </c>
      <c r="H18" s="28" t="inlineStr">
        <is>
          <t>https://www.astrazeneca.com/content/dam/az/Investor_Relations/annual-report-2025/pdf/AstraZeneca_Development_Pipeline_2025.pdf</t>
        </is>
      </c>
      <c r="I18" s="28" t="inlineStr">
        <is>
          <t>https://www.bms.com/assets/bms/us/en-us/pdf/investor-info/doc_presentations/2026/bms-pipeline-february-2026.pdf</t>
        </is>
      </c>
    </row>
    <row r="19" ht="62" customHeight="1">
      <c r="A19" s="28" t="inlineStr">
        <is>
          <t>Hematology</t>
        </is>
      </c>
      <c r="B19" s="28" t="inlineStr">
        <is>
          <t>Shared target / mechanism</t>
        </is>
      </c>
      <c r="C19" s="28" t="inlineStr">
        <is>
          <t>GPRC5D</t>
        </is>
      </c>
      <c r="D19" s="28" t="inlineStr">
        <is>
          <t>AZD0305</t>
        </is>
      </c>
      <c r="E19" s="28" t="inlineStr">
        <is>
          <t>arlo-cel</t>
        </is>
      </c>
      <c r="F19" s="29" t="n">
        <v>3</v>
      </c>
      <c r="G19" s="28" t="inlineStr">
        <is>
          <t>This is the clearest exact target overlap: an ADC versus CAR-T directed to GPRC5D.</t>
        </is>
      </c>
      <c r="H19" s="28" t="inlineStr">
        <is>
          <t>https://www.astrazeneca.com/content/dam/az/Investor_Relations/annual-report-2025/pdf/AstraZeneca_Development_Pipeline_2025.pdf</t>
        </is>
      </c>
      <c r="I19" s="28" t="inlineStr">
        <is>
          <t>https://www.bms.com/assets/bms/us/en-us/pdf/investor-info/doc_presentations/2026/bms-pipeline-february-2026.pdf</t>
        </is>
      </c>
    </row>
    <row r="20" ht="62" customHeight="1">
      <c r="A20" s="28" t="inlineStr">
        <is>
          <t>Hematology</t>
        </is>
      </c>
      <c r="B20" s="28" t="inlineStr">
        <is>
          <t>Stage alignment</t>
        </is>
      </c>
      <c r="C20" s="28" t="inlineStr">
        <is>
          <t>Phase III / registration</t>
        </is>
      </c>
      <c r="D20" s="28" t="inlineStr">
        <is>
          <t>surovatamig</t>
        </is>
      </c>
      <c r="E20" s="28" t="inlineStr">
        <is>
          <t>arlo-cel; golcadomide; iberdomide; mezigdomide</t>
        </is>
      </c>
      <c r="F20" s="30" t="n">
        <v>2</v>
      </c>
      <c r="G20" s="28" t="inlineStr">
        <is>
          <t>Both have Phase III/registration programs, though BMS is more concentrated at this stage.</t>
        </is>
      </c>
      <c r="H20" s="28" t="inlineStr">
        <is>
          <t>https://www.astrazeneca.com/content/dam/az/Investor_Relations/annual-report-2025/pdf/AstraZeneca_Development_Pipeline_2025.pdf</t>
        </is>
      </c>
      <c r="I20" s="28" t="inlineStr">
        <is>
          <t>https://www.bms.com/assets/bms/us/en-us/pdf/investor-info/doc_presentations/2026/bms-pipeline-february-2026.pdf</t>
        </is>
      </c>
    </row>
    <row r="21" ht="62" customHeight="1">
      <c r="A21" s="28" t="inlineStr">
        <is>
          <t>Immunology, respiratory &amp; fibrosis</t>
        </is>
      </c>
      <c r="B21" s="28" t="inlineStr">
        <is>
          <t>Shared modalities</t>
        </is>
      </c>
      <c r="C21" s="28" t="inlineStr">
        <is>
          <t>Small-molecule therapy</t>
        </is>
      </c>
      <c r="D21" s="28" t="inlineStr">
        <is>
          <t>atuliflapon; AZD4604; AZD6793</t>
        </is>
      </c>
      <c r="E21" s="28" t="inlineStr">
        <is>
          <t>admilparant</t>
        </is>
      </c>
      <c r="F21" s="31" t="n">
        <v>1</v>
      </c>
      <c r="G21" s="28" t="inlineStr">
        <is>
          <t>Both use small molecules, but the diseases and mechanisms are largely different.</t>
        </is>
      </c>
      <c r="H21" s="28" t="inlineStr">
        <is>
          <t>https://www.astrazeneca.com/content/dam/az/Investor_Relations/annual-report-2025/pdf/AstraZeneca_Development_Pipeline_2025.pdf</t>
        </is>
      </c>
      <c r="I21" s="28" t="inlineStr">
        <is>
          <t>https://www.bms.com/assets/bms/us/en-us/pdf/investor-info/doc_presentations/2026/bms-pipeline-february-2026.pdf</t>
        </is>
      </c>
    </row>
    <row r="22" ht="62" customHeight="1">
      <c r="A22" s="28" t="inlineStr">
        <is>
          <t>Immunology, respiratory &amp; fibrosis</t>
        </is>
      </c>
      <c r="B22" s="28" t="inlineStr">
        <is>
          <t>Shared modalities</t>
        </is>
      </c>
      <c r="C22" s="28" t="inlineStr">
        <is>
          <t>Monoclonal antibodies / biologics</t>
        </is>
      </c>
      <c r="D22" s="28" t="inlineStr">
        <is>
          <t>AZD1163; AZD7798; AZD8630; tozorakimab</t>
        </is>
      </c>
      <c r="E22" s="28" t="inlineStr">
        <is>
          <t>obexelimab</t>
        </is>
      </c>
      <c r="F22" s="31" t="n">
        <v>1</v>
      </c>
      <c r="G22" s="28" t="inlineStr">
        <is>
          <t>Both have biologics, but with different disease and target focus.</t>
        </is>
      </c>
      <c r="H22" s="28" t="inlineStr">
        <is>
          <t>https://www.astrazeneca.com/content/dam/az/Investor_Relations/annual-report-2025/pdf/AstraZeneca_Development_Pipeline_2025.pdf</t>
        </is>
      </c>
      <c r="I22" s="28" t="inlineStr">
        <is>
          <t>https://www.bms.com/assets/bms/us/en-us/pdf/investor-info/doc_presentations/2026/bms-pipeline-february-2026.pdf</t>
        </is>
      </c>
    </row>
    <row r="23" ht="62" customHeight="1">
      <c r="A23" s="28" t="inlineStr">
        <is>
          <t>Immunology, respiratory &amp; fibrosis</t>
        </is>
      </c>
      <c r="B23" s="28" t="inlineStr">
        <is>
          <t>Stage alignment</t>
        </is>
      </c>
      <c r="C23" s="28" t="inlineStr">
        <is>
          <t>Phase III / registration</t>
        </is>
      </c>
      <c r="D23" s="28" t="inlineStr">
        <is>
          <t>tozorakimab</t>
        </is>
      </c>
      <c r="E23" s="28" t="inlineStr">
        <is>
          <t>zola-cel; admilparant; obexelimab</t>
        </is>
      </c>
      <c r="F23" s="31" t="n">
        <v>1</v>
      </c>
      <c r="G23" s="28" t="inlineStr">
        <is>
          <t>Both have Phase III programs, without a clear same-indication collision.</t>
        </is>
      </c>
      <c r="H23" s="28" t="inlineStr">
        <is>
          <t>https://www.astrazeneca.com/content/dam/az/Investor_Relations/annual-report-2025/pdf/AstraZeneca_Development_Pipeline_2025.pdf</t>
        </is>
      </c>
      <c r="I23" s="28" t="inlineStr">
        <is>
          <t>https://www.bms.com/assets/bms/us/en-us/pdf/investor-info/doc_presentations/2026/bms-pipeline-february-2026.pdf</t>
        </is>
      </c>
    </row>
    <row r="24" ht="62" customHeight="1">
      <c r="A24" s="28" t="inlineStr">
        <is>
          <t>Cardiovascular</t>
        </is>
      </c>
      <c r="B24" s="28" t="inlineStr">
        <is>
          <t>Shared indications</t>
        </is>
      </c>
      <c r="C24" s="28" t="inlineStr">
        <is>
          <t>Heart failure</t>
        </is>
      </c>
      <c r="D24" s="28" t="inlineStr">
        <is>
          <t>AZD5462</t>
        </is>
      </c>
      <c r="E24" s="28" t="inlineStr">
        <is>
          <t>MYK-224</t>
        </is>
      </c>
      <c r="F24" s="30" t="n">
        <v>2</v>
      </c>
      <c r="G24" s="28" t="inlineStr">
        <is>
          <t>Both have Phase II heart-failure programs, with different mechanisms.</t>
        </is>
      </c>
      <c r="H24" s="28" t="inlineStr">
        <is>
          <t>https://www.astrazeneca.com/content/dam/az/Investor_Relations/annual-report-2025/pdf/AstraZeneca_Development_Pipeline_2025.pdf</t>
        </is>
      </c>
      <c r="I24" s="28" t="inlineStr">
        <is>
          <t>https://www.bms.com/assets/bms/us/en-us/pdf/investor-info/doc_presentations/2026/bms-pipeline-february-2026.pdf</t>
        </is>
      </c>
    </row>
    <row r="25" ht="62" customHeight="1">
      <c r="A25" s="28" t="inlineStr">
        <is>
          <t>Cardiovascular</t>
        </is>
      </c>
      <c r="B25" s="28" t="inlineStr">
        <is>
          <t>Shared modalities</t>
        </is>
      </c>
      <c r="C25" s="28" t="inlineStr">
        <is>
          <t>Small-molecule therapy</t>
        </is>
      </c>
      <c r="D25" s="28" t="inlineStr">
        <is>
          <t>AZD5462; baxdrostat; laroprovstat</t>
        </is>
      </c>
      <c r="E25" s="28" t="inlineStr">
        <is>
          <t>MYK-224; milvexian</t>
        </is>
      </c>
      <c r="F25" s="31" t="n">
        <v>1</v>
      </c>
      <c r="G25" s="28" t="inlineStr">
        <is>
          <t>Both portfolios are primarily small-molecule programs, but disease and target overlap is limited.</t>
        </is>
      </c>
      <c r="H25" s="28" t="inlineStr">
        <is>
          <t>https://www.astrazeneca.com/content/dam/az/Investor_Relations/annual-report-2025/pdf/AstraZeneca_Development_Pipeline_2025.pdf</t>
        </is>
      </c>
      <c r="I25" s="28" t="inlineStr">
        <is>
          <t>https://www.bms.com/assets/bms/us/en-us/pdf/investor-info/doc_presentations/2026/bms-pipeline-february-2026.pdf</t>
        </is>
      </c>
    </row>
    <row r="26" ht="62" customHeight="1">
      <c r="A26" s="28" t="inlineStr">
        <is>
          <t>Cardiovascular</t>
        </is>
      </c>
      <c r="B26" s="28" t="inlineStr">
        <is>
          <t>Stage alignment</t>
        </is>
      </c>
      <c r="C26" s="28" t="inlineStr">
        <is>
          <t>Phase II</t>
        </is>
      </c>
      <c r="D26" s="28" t="inlineStr">
        <is>
          <t>AZD5462</t>
        </is>
      </c>
      <c r="E26" s="28" t="inlineStr">
        <is>
          <t>MYK-224</t>
        </is>
      </c>
      <c r="F26" s="30" t="n">
        <v>2</v>
      </c>
      <c r="G26" s="28" t="inlineStr">
        <is>
          <t>The heart-failure programs are both in Phase II.</t>
        </is>
      </c>
      <c r="H26" s="28" t="inlineStr">
        <is>
          <t>https://www.astrazeneca.com/content/dam/az/Investor_Relations/annual-report-2025/pdf/AstraZeneca_Development_Pipeline_2025.pdf</t>
        </is>
      </c>
      <c r="I26" s="28" t="inlineStr">
        <is>
          <t>https://www.bms.com/assets/bms/us/en-us/pdf/investor-info/doc_presentations/2026/bms-pipeline-february-2026.pdf</t>
        </is>
      </c>
    </row>
    <row r="27" ht="62" customHeight="1">
      <c r="A27" s="28" t="inlineStr">
        <is>
          <t>Cardiovascular</t>
        </is>
      </c>
      <c r="B27" s="28" t="inlineStr">
        <is>
          <t>Stage alignment</t>
        </is>
      </c>
      <c r="C27" s="28" t="inlineStr">
        <is>
          <t>Phase III / registration</t>
        </is>
      </c>
      <c r="D27" s="28" t="inlineStr">
        <is>
          <t>baxdrostat; laroprovstat</t>
        </is>
      </c>
      <c r="E27" s="28" t="inlineStr">
        <is>
          <t>milvexian</t>
        </is>
      </c>
      <c r="F27" s="31" t="n">
        <v>1</v>
      </c>
      <c r="G27" s="28" t="inlineStr">
        <is>
          <t>Both have Phase III programs, but in different cardiovascular indications.</t>
        </is>
      </c>
      <c r="H27" s="28" t="inlineStr">
        <is>
          <t>https://www.astrazeneca.com/content/dam/az/Investor_Relations/annual-report-2025/pdf/AstraZeneca_Development_Pipeline_2025.pdf</t>
        </is>
      </c>
      <c r="I27" s="28" t="inlineStr">
        <is>
          <t>https://www.bms.com/assets/bms/us/en-us/pdf/investor-info/doc_presentations/2026/bms-pipeline-february-2026.pdf</t>
        </is>
      </c>
    </row>
  </sheetData>
  <mergeCells count="2">
    <mergeCell ref="A1:I1"/>
    <mergeCell ref="A2:I2"/>
  </mergeCell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N15"/>
  <sheetViews>
    <sheetView showGridLines="0" workbookViewId="0">
      <selection activeCell="A1" sqref="A1"/>
    </sheetView>
  </sheetViews>
  <sheetFormatPr baseColWidth="8" defaultRowHeight="15"/>
  <cols>
    <col width="32" customWidth="1" min="1" max="1"/>
    <col width="25" customWidth="1" min="2" max="2"/>
    <col width="11" customWidth="1" min="3" max="3"/>
    <col width="12" customWidth="1" min="4" max="4"/>
    <col width="13" customWidth="1" min="5" max="5"/>
    <col width="16" customWidth="1" min="6" max="6"/>
    <col width="16" customWidth="1" min="7" max="7"/>
    <col width="16" customWidth="1" min="8" max="8"/>
    <col width="16" customWidth="1" min="9" max="9"/>
    <col width="24" customWidth="1" min="10" max="10"/>
    <col width="16" customWidth="1" min="11" max="11"/>
    <col width="15" customWidth="1" min="12" max="12"/>
    <col width="15" customWidth="1" min="13" max="13"/>
    <col width="20" customWidth="1" min="14" max="14"/>
  </cols>
  <sheetData>
    <row r="1" ht="34" customHeight="1">
      <c r="A1" s="32" t="inlineStr">
        <is>
          <t>AstraZeneca + BMS: count-based portfolio collision matrix</t>
        </is>
      </c>
    </row>
    <row r="2" ht="34" customHeight="1">
      <c r="A2" s="26" t="inlineStr">
        <is>
          <t>Counts represent distinct shared territories/classes and are calculated from Overlap_Units. Intensity is the maximum directness score among the units in each cell. Portfolio balance has been removed.</t>
        </is>
      </c>
    </row>
    <row r="4" ht="45" customHeight="1">
      <c r="A4" s="27" t="inlineStr">
        <is>
          <t>Disease area</t>
        </is>
      </c>
      <c r="B4" s="27" t="inlineStr">
        <is>
          <t>Plot label</t>
        </is>
      </c>
      <c r="C4" s="27" t="inlineStr">
        <is>
          <t>AZ programs</t>
        </is>
      </c>
      <c r="D4" s="27" t="inlineStr">
        <is>
          <t>BMS programs</t>
        </is>
      </c>
      <c r="E4" s="27" t="inlineStr">
        <is>
          <t>Combined programs</t>
        </is>
      </c>
      <c r="F4" s="27" t="inlineStr">
        <is>
          <t>Shared indications</t>
        </is>
      </c>
      <c r="G4" s="27" t="inlineStr">
        <is>
          <t>Indication intensity</t>
        </is>
      </c>
      <c r="H4" s="27" t="inlineStr">
        <is>
          <t>Shared modalities</t>
        </is>
      </c>
      <c r="I4" s="27" t="inlineStr">
        <is>
          <t>Modality intensity</t>
        </is>
      </c>
      <c r="J4" s="27" t="inlineStr">
        <is>
          <t>Shared target / mechanism</t>
        </is>
      </c>
      <c r="K4" s="27" t="inlineStr">
        <is>
          <t>Target intensity</t>
        </is>
      </c>
      <c r="L4" s="27" t="inlineStr">
        <is>
          <t>Stage alignment</t>
        </is>
      </c>
      <c r="M4" s="27" t="inlineStr">
        <is>
          <t>Stage intensity</t>
        </is>
      </c>
      <c r="N4" s="27" t="inlineStr">
        <is>
          <t>Strategic read</t>
        </is>
      </c>
    </row>
    <row r="5" ht="48" customHeight="1">
      <c r="A5" s="33" t="inlineStr">
        <is>
          <t>Solid-tumor oncology</t>
        </is>
      </c>
      <c r="B5" s="33" t="inlineStr">
        <is>
          <t>Solid tumors</t>
        </is>
      </c>
      <c r="C5" s="34">
        <f>COUNTIFS(Asset_Data!$A:$A,"AstraZeneca",Asset_Data!$C:$C,$A5)</f>
        <v/>
      </c>
      <c r="D5" s="34">
        <f>COUNTIFS(Asset_Data!$A:$A,"Bristol Myers Squibb",Asset_Data!$C:$C,$A5)</f>
        <v/>
      </c>
      <c r="E5" s="34">
        <f>SUM(C5:D5)</f>
        <v/>
      </c>
      <c r="F5" s="35">
        <f>COUNTIFS(Overlap_Units!$A:$A,$A5,Overlap_Units!$B:$B,F4)</f>
        <v/>
      </c>
      <c r="G5" s="34">
        <f>IF(F5=0,0,MAXIFS(Overlap_Units!$F:$F,Overlap_Units!$A:$A,$A5,Overlap_Units!$B:$B,F4))</f>
        <v/>
      </c>
      <c r="H5" s="35">
        <f>COUNTIFS(Overlap_Units!$A:$A,$A5,Overlap_Units!$B:$B,H4)</f>
        <v/>
      </c>
      <c r="I5" s="34">
        <f>IF(H5=0,0,MAXIFS(Overlap_Units!$F:$F,Overlap_Units!$A:$A,$A5,Overlap_Units!$B:$B,H4))</f>
        <v/>
      </c>
      <c r="J5" s="35">
        <f>COUNTIFS(Overlap_Units!$A:$A,$A5,Overlap_Units!$B:$B,J4)</f>
        <v/>
      </c>
      <c r="K5" s="34">
        <f>IF(J5=0,0,MAXIFS(Overlap_Units!$F:$F,Overlap_Units!$A:$A,$A5,Overlap_Units!$B:$B,J4))</f>
        <v/>
      </c>
      <c r="L5" s="35">
        <f>COUNTIFS(Overlap_Units!$A:$A,$A5,Overlap_Units!$B:$B,L4)</f>
        <v/>
      </c>
      <c r="M5" s="34">
        <f>IF(L5=0,0,MAXIFS(Overlap_Units!$F:$F,Overlap_Units!$A:$A,$A5,Overlap_Units!$B:$B,L4))</f>
        <v/>
      </c>
      <c r="N5" s="33" t="inlineStr">
        <is>
          <t>Strong collision</t>
        </is>
      </c>
    </row>
    <row r="6" ht="48" customHeight="1">
      <c r="A6" s="33" t="inlineStr">
        <is>
          <t>Hematology</t>
        </is>
      </c>
      <c r="B6" s="33" t="inlineStr">
        <is>
          <t>Hematology</t>
        </is>
      </c>
      <c r="C6" s="34">
        <f>COUNTIFS(Asset_Data!$A:$A,"AstraZeneca",Asset_Data!$C:$C,$A6)</f>
        <v/>
      </c>
      <c r="D6" s="34">
        <f>COUNTIFS(Asset_Data!$A:$A,"Bristol Myers Squibb",Asset_Data!$C:$C,$A6)</f>
        <v/>
      </c>
      <c r="E6" s="34">
        <f>SUM(C6:D6)</f>
        <v/>
      </c>
      <c r="F6" s="35">
        <f>COUNTIFS(Overlap_Units!$A:$A,$A6,Overlap_Units!$B:$B,F4)</f>
        <v/>
      </c>
      <c r="G6" s="34">
        <f>IF(F6=0,0,MAXIFS(Overlap_Units!$F:$F,Overlap_Units!$A:$A,$A6,Overlap_Units!$B:$B,F4))</f>
        <v/>
      </c>
      <c r="H6" s="35">
        <f>COUNTIFS(Overlap_Units!$A:$A,$A6,Overlap_Units!$B:$B,H4)</f>
        <v/>
      </c>
      <c r="I6" s="34">
        <f>IF(H6=0,0,MAXIFS(Overlap_Units!$F:$F,Overlap_Units!$A:$A,$A6,Overlap_Units!$B:$B,H4))</f>
        <v/>
      </c>
      <c r="J6" s="35">
        <f>COUNTIFS(Overlap_Units!$A:$A,$A6,Overlap_Units!$B:$B,J4)</f>
        <v/>
      </c>
      <c r="K6" s="34">
        <f>IF(J6=0,0,MAXIFS(Overlap_Units!$F:$F,Overlap_Units!$A:$A,$A6,Overlap_Units!$B:$B,J4))</f>
        <v/>
      </c>
      <c r="L6" s="35">
        <f>COUNTIFS(Overlap_Units!$A:$A,$A6,Overlap_Units!$B:$B,L4)</f>
        <v/>
      </c>
      <c r="M6" s="34">
        <f>IF(L6=0,0,MAXIFS(Overlap_Units!$F:$F,Overlap_Units!$A:$A,$A6,Overlap_Units!$B:$B,L4))</f>
        <v/>
      </c>
      <c r="N6" s="33" t="inlineStr">
        <is>
          <t>Strong collision</t>
        </is>
      </c>
    </row>
    <row r="7" ht="48" customHeight="1">
      <c r="A7" s="33" t="inlineStr">
        <is>
          <t>Immunology, respiratory &amp; fibrosis</t>
        </is>
      </c>
      <c r="B7" s="33" t="inlineStr">
        <is>
          <t>Immunology / resp. / fibrosis</t>
        </is>
      </c>
      <c r="C7" s="34">
        <f>COUNTIFS(Asset_Data!$A:$A,"AstraZeneca",Asset_Data!$C:$C,$A7)</f>
        <v/>
      </c>
      <c r="D7" s="34">
        <f>COUNTIFS(Asset_Data!$A:$A,"Bristol Myers Squibb",Asset_Data!$C:$C,$A7)</f>
        <v/>
      </c>
      <c r="E7" s="34">
        <f>SUM(C7:D7)</f>
        <v/>
      </c>
      <c r="F7" s="35">
        <f>COUNTIFS(Overlap_Units!$A:$A,$A7,Overlap_Units!$B:$B,F4)</f>
        <v/>
      </c>
      <c r="G7" s="34">
        <f>IF(F7=0,0,MAXIFS(Overlap_Units!$F:$F,Overlap_Units!$A:$A,$A7,Overlap_Units!$B:$B,F4))</f>
        <v/>
      </c>
      <c r="H7" s="35">
        <f>COUNTIFS(Overlap_Units!$A:$A,$A7,Overlap_Units!$B:$B,H4)</f>
        <v/>
      </c>
      <c r="I7" s="34">
        <f>IF(H7=0,0,MAXIFS(Overlap_Units!$F:$F,Overlap_Units!$A:$A,$A7,Overlap_Units!$B:$B,H4))</f>
        <v/>
      </c>
      <c r="J7" s="35">
        <f>COUNTIFS(Overlap_Units!$A:$A,$A7,Overlap_Units!$B:$B,J4)</f>
        <v/>
      </c>
      <c r="K7" s="34">
        <f>IF(J7=0,0,MAXIFS(Overlap_Units!$F:$F,Overlap_Units!$A:$A,$A7,Overlap_Units!$B:$B,J4))</f>
        <v/>
      </c>
      <c r="L7" s="35">
        <f>COUNTIFS(Overlap_Units!$A:$A,$A7,Overlap_Units!$B:$B,L4)</f>
        <v/>
      </c>
      <c r="M7" s="34">
        <f>IF(L7=0,0,MAXIFS(Overlap_Units!$F:$F,Overlap_Units!$A:$A,$A7,Overlap_Units!$B:$B,L4))</f>
        <v/>
      </c>
      <c r="N7" s="33" t="inlineStr">
        <is>
          <t>Platform adjacency</t>
        </is>
      </c>
    </row>
    <row r="8" ht="48" customHeight="1">
      <c r="A8" s="33" t="inlineStr">
        <is>
          <t>Cardiovascular</t>
        </is>
      </c>
      <c r="B8" s="33" t="inlineStr">
        <is>
          <t>CV</t>
        </is>
      </c>
      <c r="C8" s="34">
        <f>COUNTIFS(Asset_Data!$A:$A,"AstraZeneca",Asset_Data!$C:$C,$A8)</f>
        <v/>
      </c>
      <c r="D8" s="34">
        <f>COUNTIFS(Asset_Data!$A:$A,"Bristol Myers Squibb",Asset_Data!$C:$C,$A8)</f>
        <v/>
      </c>
      <c r="E8" s="34">
        <f>SUM(C8:D8)</f>
        <v/>
      </c>
      <c r="F8" s="35">
        <f>COUNTIFS(Overlap_Units!$A:$A,$A8,Overlap_Units!$B:$B,F4)</f>
        <v/>
      </c>
      <c r="G8" s="34">
        <f>IF(F8=0,0,MAXIFS(Overlap_Units!$F:$F,Overlap_Units!$A:$A,$A8,Overlap_Units!$B:$B,F4))</f>
        <v/>
      </c>
      <c r="H8" s="35">
        <f>COUNTIFS(Overlap_Units!$A:$A,$A8,Overlap_Units!$B:$B,H4)</f>
        <v/>
      </c>
      <c r="I8" s="34">
        <f>IF(H8=0,0,MAXIFS(Overlap_Units!$F:$F,Overlap_Units!$A:$A,$A8,Overlap_Units!$B:$B,H4))</f>
        <v/>
      </c>
      <c r="J8" s="35">
        <f>COUNTIFS(Overlap_Units!$A:$A,$A8,Overlap_Units!$B:$B,J4)</f>
        <v/>
      </c>
      <c r="K8" s="34">
        <f>IF(J8=0,0,MAXIFS(Overlap_Units!$F:$F,Overlap_Units!$A:$A,$A8,Overlap_Units!$B:$B,J4))</f>
        <v/>
      </c>
      <c r="L8" s="35">
        <f>COUNTIFS(Overlap_Units!$A:$A,$A8,Overlap_Units!$B:$B,L4)</f>
        <v/>
      </c>
      <c r="M8" s="34">
        <f>IF(L8=0,0,MAXIFS(Overlap_Units!$F:$F,Overlap_Units!$A:$A,$A8,Overlap_Units!$B:$B,L4))</f>
        <v/>
      </c>
      <c r="N8" s="33" t="inlineStr">
        <is>
          <t>Narrow adjacency</t>
        </is>
      </c>
    </row>
    <row r="9" ht="48" customHeight="1">
      <c r="A9" s="33" t="inlineStr">
        <is>
          <t>Rare disease</t>
        </is>
      </c>
      <c r="B9" s="33" t="inlineStr">
        <is>
          <t>Rare disease</t>
        </is>
      </c>
      <c r="C9" s="34">
        <f>COUNTIFS(Asset_Data!$A:$A,"AstraZeneca",Asset_Data!$C:$C,$A9)</f>
        <v/>
      </c>
      <c r="D9" s="34">
        <f>COUNTIFS(Asset_Data!$A:$A,"Bristol Myers Squibb",Asset_Data!$C:$C,$A9)</f>
        <v/>
      </c>
      <c r="E9" s="34">
        <f>SUM(C9:D9)</f>
        <v/>
      </c>
      <c r="F9" s="35">
        <f>COUNTIFS(Overlap_Units!$A:$A,$A9,Overlap_Units!$B:$B,F4)</f>
        <v/>
      </c>
      <c r="G9" s="34">
        <f>IF(F9=0,0,MAXIFS(Overlap_Units!$F:$F,Overlap_Units!$A:$A,$A9,Overlap_Units!$B:$B,F4))</f>
        <v/>
      </c>
      <c r="H9" s="35">
        <f>COUNTIFS(Overlap_Units!$A:$A,$A9,Overlap_Units!$B:$B,H4)</f>
        <v/>
      </c>
      <c r="I9" s="34">
        <f>IF(H9=0,0,MAXIFS(Overlap_Units!$F:$F,Overlap_Units!$A:$A,$A9,Overlap_Units!$B:$B,H4))</f>
        <v/>
      </c>
      <c r="J9" s="35">
        <f>COUNTIFS(Overlap_Units!$A:$A,$A9,Overlap_Units!$B:$B,J4)</f>
        <v/>
      </c>
      <c r="K9" s="34">
        <f>IF(J9=0,0,MAXIFS(Overlap_Units!$F:$F,Overlap_Units!$A:$A,$A9,Overlap_Units!$B:$B,J4))</f>
        <v/>
      </c>
      <c r="L9" s="35">
        <f>COUNTIFS(Overlap_Units!$A:$A,$A9,Overlap_Units!$B:$B,L4)</f>
        <v/>
      </c>
      <c r="M9" s="34">
        <f>IF(L9=0,0,MAXIFS(Overlap_Units!$F:$F,Overlap_Units!$A:$A,$A9,Overlap_Units!$B:$B,L4))</f>
        <v/>
      </c>
      <c r="N9" s="33" t="inlineStr">
        <is>
          <t>AZ-led fit</t>
        </is>
      </c>
    </row>
    <row r="10" ht="48" customHeight="1">
      <c r="A10" s="33" t="inlineStr">
        <is>
          <t>Renal &amp; metabolic</t>
        </is>
      </c>
      <c r="B10" s="33" t="inlineStr">
        <is>
          <t>Renal / metabolic</t>
        </is>
      </c>
      <c r="C10" s="34">
        <f>COUNTIFS(Asset_Data!$A:$A,"AstraZeneca",Asset_Data!$C:$C,$A10)</f>
        <v/>
      </c>
      <c r="D10" s="34">
        <f>COUNTIFS(Asset_Data!$A:$A,"Bristol Myers Squibb",Asset_Data!$C:$C,$A10)</f>
        <v/>
      </c>
      <c r="E10" s="34">
        <f>SUM(C10:D10)</f>
        <v/>
      </c>
      <c r="F10" s="35">
        <f>COUNTIFS(Overlap_Units!$A:$A,$A10,Overlap_Units!$B:$B,F4)</f>
        <v/>
      </c>
      <c r="G10" s="34">
        <f>IF(F10=0,0,MAXIFS(Overlap_Units!$F:$F,Overlap_Units!$A:$A,$A10,Overlap_Units!$B:$B,F4))</f>
        <v/>
      </c>
      <c r="H10" s="35">
        <f>COUNTIFS(Overlap_Units!$A:$A,$A10,Overlap_Units!$B:$B,H4)</f>
        <v/>
      </c>
      <c r="I10" s="34">
        <f>IF(H10=0,0,MAXIFS(Overlap_Units!$F:$F,Overlap_Units!$A:$A,$A10,Overlap_Units!$B:$B,H4))</f>
        <v/>
      </c>
      <c r="J10" s="35">
        <f>COUNTIFS(Overlap_Units!$A:$A,$A10,Overlap_Units!$B:$B,J4)</f>
        <v/>
      </c>
      <c r="K10" s="34">
        <f>IF(J10=0,0,MAXIFS(Overlap_Units!$F:$F,Overlap_Units!$A:$A,$A10,Overlap_Units!$B:$B,J4))</f>
        <v/>
      </c>
      <c r="L10" s="35">
        <f>COUNTIFS(Overlap_Units!$A:$A,$A10,Overlap_Units!$B:$B,L4)</f>
        <v/>
      </c>
      <c r="M10" s="34">
        <f>IF(L10=0,0,MAXIFS(Overlap_Units!$F:$F,Overlap_Units!$A:$A,$A10,Overlap_Units!$B:$B,L4))</f>
        <v/>
      </c>
      <c r="N10" s="33" t="inlineStr">
        <is>
          <t>AZ-led fit</t>
        </is>
      </c>
    </row>
    <row r="11" ht="48" customHeight="1">
      <c r="A11" s="33" t="inlineStr">
        <is>
          <t>Infectious disease</t>
        </is>
      </c>
      <c r="B11" s="33" t="inlineStr">
        <is>
          <t>Infectious disease</t>
        </is>
      </c>
      <c r="C11" s="34">
        <f>COUNTIFS(Asset_Data!$A:$A,"AstraZeneca",Asset_Data!$C:$C,$A11)</f>
        <v/>
      </c>
      <c r="D11" s="34">
        <f>COUNTIFS(Asset_Data!$A:$A,"Bristol Myers Squibb",Asset_Data!$C:$C,$A11)</f>
        <v/>
      </c>
      <c r="E11" s="34">
        <f>SUM(C11:D11)</f>
        <v/>
      </c>
      <c r="F11" s="35">
        <f>COUNTIFS(Overlap_Units!$A:$A,$A11,Overlap_Units!$B:$B,F4)</f>
        <v/>
      </c>
      <c r="G11" s="34">
        <f>IF(F11=0,0,MAXIFS(Overlap_Units!$F:$F,Overlap_Units!$A:$A,$A11,Overlap_Units!$B:$B,F4))</f>
        <v/>
      </c>
      <c r="H11" s="35">
        <f>COUNTIFS(Overlap_Units!$A:$A,$A11,Overlap_Units!$B:$B,H4)</f>
        <v/>
      </c>
      <c r="I11" s="34">
        <f>IF(H11=0,0,MAXIFS(Overlap_Units!$F:$F,Overlap_Units!$A:$A,$A11,Overlap_Units!$B:$B,H4))</f>
        <v/>
      </c>
      <c r="J11" s="35">
        <f>COUNTIFS(Overlap_Units!$A:$A,$A11,Overlap_Units!$B:$B,J4)</f>
        <v/>
      </c>
      <c r="K11" s="34">
        <f>IF(J11=0,0,MAXIFS(Overlap_Units!$F:$F,Overlap_Units!$A:$A,$A11,Overlap_Units!$B:$B,J4))</f>
        <v/>
      </c>
      <c r="L11" s="35">
        <f>COUNTIFS(Overlap_Units!$A:$A,$A11,Overlap_Units!$B:$B,L4)</f>
        <v/>
      </c>
      <c r="M11" s="34">
        <f>IF(L11=0,0,MAXIFS(Overlap_Units!$F:$F,Overlap_Units!$A:$A,$A11,Overlap_Units!$B:$B,L4))</f>
        <v/>
      </c>
      <c r="N11" s="33" t="inlineStr">
        <is>
          <t>AZ-led fit</t>
        </is>
      </c>
    </row>
    <row r="12" ht="48" customHeight="1">
      <c r="A12" s="33" t="inlineStr">
        <is>
          <t>Neuroscience</t>
        </is>
      </c>
      <c r="B12" s="33" t="inlineStr">
        <is>
          <t>Neuroscience</t>
        </is>
      </c>
      <c r="C12" s="34">
        <f>COUNTIFS(Asset_Data!$A:$A,"AstraZeneca",Asset_Data!$C:$C,$A12)</f>
        <v/>
      </c>
      <c r="D12" s="34">
        <f>COUNTIFS(Asset_Data!$A:$A,"Bristol Myers Squibb",Asset_Data!$C:$C,$A12)</f>
        <v/>
      </c>
      <c r="E12" s="34">
        <f>SUM(C12:D12)</f>
        <v/>
      </c>
      <c r="F12" s="35">
        <f>COUNTIFS(Overlap_Units!$A:$A,$A12,Overlap_Units!$B:$B,F4)</f>
        <v/>
      </c>
      <c r="G12" s="34">
        <f>IF(F12=0,0,MAXIFS(Overlap_Units!$F:$F,Overlap_Units!$A:$A,$A12,Overlap_Units!$B:$B,F4))</f>
        <v/>
      </c>
      <c r="H12" s="35">
        <f>COUNTIFS(Overlap_Units!$A:$A,$A12,Overlap_Units!$B:$B,H4)</f>
        <v/>
      </c>
      <c r="I12" s="34">
        <f>IF(H12=0,0,MAXIFS(Overlap_Units!$F:$F,Overlap_Units!$A:$A,$A12,Overlap_Units!$B:$B,H4))</f>
        <v/>
      </c>
      <c r="J12" s="35">
        <f>COUNTIFS(Overlap_Units!$A:$A,$A12,Overlap_Units!$B:$B,J4)</f>
        <v/>
      </c>
      <c r="K12" s="34">
        <f>IF(J12=0,0,MAXIFS(Overlap_Units!$F:$F,Overlap_Units!$A:$A,$A12,Overlap_Units!$B:$B,J4))</f>
        <v/>
      </c>
      <c r="L12" s="35">
        <f>COUNTIFS(Overlap_Units!$A:$A,$A12,Overlap_Units!$B:$B,L4)</f>
        <v/>
      </c>
      <c r="M12" s="34">
        <f>IF(L12=0,0,MAXIFS(Overlap_Units!$F:$F,Overlap_Units!$A:$A,$A12,Overlap_Units!$B:$B,L4))</f>
        <v/>
      </c>
      <c r="N12" s="33" t="inlineStr">
        <is>
          <t>BMS-led fit</t>
        </is>
      </c>
    </row>
    <row r="15" ht="30" customHeight="1">
      <c r="A15" s="36" t="inlineStr">
        <is>
          <t>Definition: overlap count = number of distinct shared territories/classes, not the number of all possible AZ-BMS asset pairs. Late-stage program = unique lead asset in Phase II or Phase III/pivotal/registration.</t>
        </is>
      </c>
    </row>
  </sheetData>
  <mergeCells count="3">
    <mergeCell ref="A15:N15"/>
    <mergeCell ref="A2:N2"/>
    <mergeCell ref="A1:N1"/>
  </mergeCells>
  <conditionalFormatting sqref="G5:G12">
    <cfRule type="cellIs" priority="1" operator="equal" dxfId="0">
      <formula>0</formula>
    </cfRule>
    <cfRule type="cellIs" priority="2" operator="equal" dxfId="1">
      <formula>1</formula>
    </cfRule>
    <cfRule type="cellIs" priority="3" operator="equal" dxfId="2">
      <formula>2</formula>
    </cfRule>
    <cfRule type="cellIs" priority="4" operator="equal" dxfId="3">
      <formula>3</formula>
    </cfRule>
  </conditionalFormatting>
  <conditionalFormatting sqref="I5:I12">
    <cfRule type="cellIs" priority="5" operator="equal" dxfId="0">
      <formula>0</formula>
    </cfRule>
    <cfRule type="cellIs" priority="6" operator="equal" dxfId="1">
      <formula>1</formula>
    </cfRule>
    <cfRule type="cellIs" priority="7" operator="equal" dxfId="2">
      <formula>2</formula>
    </cfRule>
    <cfRule type="cellIs" priority="8" operator="equal" dxfId="3">
      <formula>3</formula>
    </cfRule>
  </conditionalFormatting>
  <conditionalFormatting sqref="K5:K12">
    <cfRule type="cellIs" priority="9" operator="equal" dxfId="0">
      <formula>0</formula>
    </cfRule>
    <cfRule type="cellIs" priority="10" operator="equal" dxfId="1">
      <formula>1</formula>
    </cfRule>
    <cfRule type="cellIs" priority="11" operator="equal" dxfId="2">
      <formula>2</formula>
    </cfRule>
    <cfRule type="cellIs" priority="12" operator="equal" dxfId="3">
      <formula>3</formula>
    </cfRule>
  </conditionalFormatting>
  <conditionalFormatting sqref="M5:M12">
    <cfRule type="cellIs" priority="13" operator="equal" dxfId="0">
      <formula>0</formula>
    </cfRule>
    <cfRule type="cellIs" priority="14" operator="equal" dxfId="1">
      <formula>1</formula>
    </cfRule>
    <cfRule type="cellIs" priority="15" operator="equal" dxfId="2">
      <formula>2</formula>
    </cfRule>
    <cfRule type="cellIs" priority="16" operator="equal" dxfId="3">
      <formula>3</formula>
    </cfRule>
  </conditionalFormatting>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H33"/>
  <sheetViews>
    <sheetView showGridLines="0" workbookViewId="0">
      <selection activeCell="A1" sqref="A1"/>
    </sheetView>
  </sheetViews>
  <sheetFormatPr baseColWidth="8" defaultRowHeight="15"/>
  <cols>
    <col width="31" customWidth="1" min="1" max="1"/>
    <col width="23" customWidth="1" min="2" max="2"/>
    <col width="28" customWidth="1" min="3" max="3"/>
    <col width="15" customWidth="1" min="4" max="4"/>
    <col width="12" customWidth="1" min="5" max="5"/>
    <col width="12" customWidth="1" min="6" max="6"/>
    <col width="12" customWidth="1" min="7" max="7"/>
    <col width="20" customWidth="1" min="8" max="8"/>
  </cols>
  <sheetData>
    <row r="1">
      <c r="A1" s="37" t="inlineStr">
        <is>
          <t>Disease area</t>
        </is>
      </c>
      <c r="B1" s="37" t="inlineStr">
        <is>
          <t>Plot label</t>
        </is>
      </c>
      <c r="C1" s="37" t="inlineStr">
        <is>
          <t>Factor</t>
        </is>
      </c>
      <c r="D1" s="37" t="inlineStr">
        <is>
          <t>Overlap count</t>
        </is>
      </c>
      <c r="E1" s="37" t="inlineStr">
        <is>
          <t>Intensity</t>
        </is>
      </c>
      <c r="F1" s="37" t="inlineStr">
        <is>
          <t>AZ programs</t>
        </is>
      </c>
      <c r="G1" s="37" t="inlineStr">
        <is>
          <t>BMS programs</t>
        </is>
      </c>
      <c r="H1" s="37" t="inlineStr">
        <is>
          <t>Relationship</t>
        </is>
      </c>
    </row>
    <row r="2">
      <c r="A2">
        <f>Overlap_Matrix!A5</f>
        <v/>
      </c>
      <c r="B2">
        <f>Overlap_Matrix!B5</f>
        <v/>
      </c>
      <c r="C2" t="inlineStr">
        <is>
          <t>Shared indications</t>
        </is>
      </c>
      <c r="D2">
        <f>Overlap_Matrix!F5</f>
        <v/>
      </c>
      <c r="E2">
        <f>Overlap_Matrix!G5</f>
        <v/>
      </c>
      <c r="F2">
        <f>Overlap_Matrix!C5</f>
        <v/>
      </c>
      <c r="G2">
        <f>Overlap_Matrix!D5</f>
        <v/>
      </c>
      <c r="H2">
        <f>Overlap_Matrix!N5</f>
        <v/>
      </c>
    </row>
    <row r="3">
      <c r="A3">
        <f>Overlap_Matrix!A5</f>
        <v/>
      </c>
      <c r="B3">
        <f>Overlap_Matrix!B5</f>
        <v/>
      </c>
      <c r="C3" t="inlineStr">
        <is>
          <t>Shared modalities</t>
        </is>
      </c>
      <c r="D3">
        <f>Overlap_Matrix!H5</f>
        <v/>
      </c>
      <c r="E3">
        <f>Overlap_Matrix!I5</f>
        <v/>
      </c>
      <c r="F3">
        <f>Overlap_Matrix!C5</f>
        <v/>
      </c>
      <c r="G3">
        <f>Overlap_Matrix!D5</f>
        <v/>
      </c>
      <c r="H3">
        <f>Overlap_Matrix!N5</f>
        <v/>
      </c>
    </row>
    <row r="4">
      <c r="A4">
        <f>Overlap_Matrix!A5</f>
        <v/>
      </c>
      <c r="B4">
        <f>Overlap_Matrix!B5</f>
        <v/>
      </c>
      <c r="C4" t="inlineStr">
        <is>
          <t>Shared target / mechanism</t>
        </is>
      </c>
      <c r="D4">
        <f>Overlap_Matrix!J5</f>
        <v/>
      </c>
      <c r="E4">
        <f>Overlap_Matrix!K5</f>
        <v/>
      </c>
      <c r="F4">
        <f>Overlap_Matrix!C5</f>
        <v/>
      </c>
      <c r="G4">
        <f>Overlap_Matrix!D5</f>
        <v/>
      </c>
      <c r="H4">
        <f>Overlap_Matrix!N5</f>
        <v/>
      </c>
    </row>
    <row r="5">
      <c r="A5">
        <f>Overlap_Matrix!A5</f>
        <v/>
      </c>
      <c r="B5">
        <f>Overlap_Matrix!B5</f>
        <v/>
      </c>
      <c r="C5" t="inlineStr">
        <is>
          <t>Stage alignment</t>
        </is>
      </c>
      <c r="D5">
        <f>Overlap_Matrix!L5</f>
        <v/>
      </c>
      <c r="E5">
        <f>Overlap_Matrix!M5</f>
        <v/>
      </c>
      <c r="F5">
        <f>Overlap_Matrix!C5</f>
        <v/>
      </c>
      <c r="G5">
        <f>Overlap_Matrix!D5</f>
        <v/>
      </c>
      <c r="H5">
        <f>Overlap_Matrix!N5</f>
        <v/>
      </c>
    </row>
    <row r="6">
      <c r="A6">
        <f>Overlap_Matrix!A6</f>
        <v/>
      </c>
      <c r="B6">
        <f>Overlap_Matrix!B6</f>
        <v/>
      </c>
      <c r="C6" t="inlineStr">
        <is>
          <t>Shared indications</t>
        </is>
      </c>
      <c r="D6">
        <f>Overlap_Matrix!F6</f>
        <v/>
      </c>
      <c r="E6">
        <f>Overlap_Matrix!G6</f>
        <v/>
      </c>
      <c r="F6">
        <f>Overlap_Matrix!C6</f>
        <v/>
      </c>
      <c r="G6">
        <f>Overlap_Matrix!D6</f>
        <v/>
      </c>
      <c r="H6">
        <f>Overlap_Matrix!N6</f>
        <v/>
      </c>
    </row>
    <row r="7">
      <c r="A7">
        <f>Overlap_Matrix!A6</f>
        <v/>
      </c>
      <c r="B7">
        <f>Overlap_Matrix!B6</f>
        <v/>
      </c>
      <c r="C7" t="inlineStr">
        <is>
          <t>Shared modalities</t>
        </is>
      </c>
      <c r="D7">
        <f>Overlap_Matrix!H6</f>
        <v/>
      </c>
      <c r="E7">
        <f>Overlap_Matrix!I6</f>
        <v/>
      </c>
      <c r="F7">
        <f>Overlap_Matrix!C6</f>
        <v/>
      </c>
      <c r="G7">
        <f>Overlap_Matrix!D6</f>
        <v/>
      </c>
      <c r="H7">
        <f>Overlap_Matrix!N6</f>
        <v/>
      </c>
    </row>
    <row r="8">
      <c r="A8">
        <f>Overlap_Matrix!A6</f>
        <v/>
      </c>
      <c r="B8">
        <f>Overlap_Matrix!B6</f>
        <v/>
      </c>
      <c r="C8" t="inlineStr">
        <is>
          <t>Shared target / mechanism</t>
        </is>
      </c>
      <c r="D8">
        <f>Overlap_Matrix!J6</f>
        <v/>
      </c>
      <c r="E8">
        <f>Overlap_Matrix!K6</f>
        <v/>
      </c>
      <c r="F8">
        <f>Overlap_Matrix!C6</f>
        <v/>
      </c>
      <c r="G8">
        <f>Overlap_Matrix!D6</f>
        <v/>
      </c>
      <c r="H8">
        <f>Overlap_Matrix!N6</f>
        <v/>
      </c>
    </row>
    <row r="9">
      <c r="A9">
        <f>Overlap_Matrix!A6</f>
        <v/>
      </c>
      <c r="B9">
        <f>Overlap_Matrix!B6</f>
        <v/>
      </c>
      <c r="C9" t="inlineStr">
        <is>
          <t>Stage alignment</t>
        </is>
      </c>
      <c r="D9">
        <f>Overlap_Matrix!L6</f>
        <v/>
      </c>
      <c r="E9">
        <f>Overlap_Matrix!M6</f>
        <v/>
      </c>
      <c r="F9">
        <f>Overlap_Matrix!C6</f>
        <v/>
      </c>
      <c r="G9">
        <f>Overlap_Matrix!D6</f>
        <v/>
      </c>
      <c r="H9">
        <f>Overlap_Matrix!N6</f>
        <v/>
      </c>
    </row>
    <row r="10">
      <c r="A10">
        <f>Overlap_Matrix!A7</f>
        <v/>
      </c>
      <c r="B10">
        <f>Overlap_Matrix!B7</f>
        <v/>
      </c>
      <c r="C10" t="inlineStr">
        <is>
          <t>Shared indications</t>
        </is>
      </c>
      <c r="D10">
        <f>Overlap_Matrix!F7</f>
        <v/>
      </c>
      <c r="E10">
        <f>Overlap_Matrix!G7</f>
        <v/>
      </c>
      <c r="F10">
        <f>Overlap_Matrix!C7</f>
        <v/>
      </c>
      <c r="G10">
        <f>Overlap_Matrix!D7</f>
        <v/>
      </c>
      <c r="H10">
        <f>Overlap_Matrix!N7</f>
        <v/>
      </c>
    </row>
    <row r="11">
      <c r="A11">
        <f>Overlap_Matrix!A7</f>
        <v/>
      </c>
      <c r="B11">
        <f>Overlap_Matrix!B7</f>
        <v/>
      </c>
      <c r="C11" t="inlineStr">
        <is>
          <t>Shared modalities</t>
        </is>
      </c>
      <c r="D11">
        <f>Overlap_Matrix!H7</f>
        <v/>
      </c>
      <c r="E11">
        <f>Overlap_Matrix!I7</f>
        <v/>
      </c>
      <c r="F11">
        <f>Overlap_Matrix!C7</f>
        <v/>
      </c>
      <c r="G11">
        <f>Overlap_Matrix!D7</f>
        <v/>
      </c>
      <c r="H11">
        <f>Overlap_Matrix!N7</f>
        <v/>
      </c>
    </row>
    <row r="12">
      <c r="A12">
        <f>Overlap_Matrix!A7</f>
        <v/>
      </c>
      <c r="B12">
        <f>Overlap_Matrix!B7</f>
        <v/>
      </c>
      <c r="C12" t="inlineStr">
        <is>
          <t>Shared target / mechanism</t>
        </is>
      </c>
      <c r="D12">
        <f>Overlap_Matrix!J7</f>
        <v/>
      </c>
      <c r="E12">
        <f>Overlap_Matrix!K7</f>
        <v/>
      </c>
      <c r="F12">
        <f>Overlap_Matrix!C7</f>
        <v/>
      </c>
      <c r="G12">
        <f>Overlap_Matrix!D7</f>
        <v/>
      </c>
      <c r="H12">
        <f>Overlap_Matrix!N7</f>
        <v/>
      </c>
    </row>
    <row r="13">
      <c r="A13">
        <f>Overlap_Matrix!A7</f>
        <v/>
      </c>
      <c r="B13">
        <f>Overlap_Matrix!B7</f>
        <v/>
      </c>
      <c r="C13" t="inlineStr">
        <is>
          <t>Stage alignment</t>
        </is>
      </c>
      <c r="D13">
        <f>Overlap_Matrix!L7</f>
        <v/>
      </c>
      <c r="E13">
        <f>Overlap_Matrix!M7</f>
        <v/>
      </c>
      <c r="F13">
        <f>Overlap_Matrix!C7</f>
        <v/>
      </c>
      <c r="G13">
        <f>Overlap_Matrix!D7</f>
        <v/>
      </c>
      <c r="H13">
        <f>Overlap_Matrix!N7</f>
        <v/>
      </c>
    </row>
    <row r="14">
      <c r="A14">
        <f>Overlap_Matrix!A8</f>
        <v/>
      </c>
      <c r="B14">
        <f>Overlap_Matrix!B8</f>
        <v/>
      </c>
      <c r="C14" t="inlineStr">
        <is>
          <t>Shared indications</t>
        </is>
      </c>
      <c r="D14">
        <f>Overlap_Matrix!F8</f>
        <v/>
      </c>
      <c r="E14">
        <f>Overlap_Matrix!G8</f>
        <v/>
      </c>
      <c r="F14">
        <f>Overlap_Matrix!C8</f>
        <v/>
      </c>
      <c r="G14">
        <f>Overlap_Matrix!D8</f>
        <v/>
      </c>
      <c r="H14">
        <f>Overlap_Matrix!N8</f>
        <v/>
      </c>
    </row>
    <row r="15">
      <c r="A15">
        <f>Overlap_Matrix!A8</f>
        <v/>
      </c>
      <c r="B15">
        <f>Overlap_Matrix!B8</f>
        <v/>
      </c>
      <c r="C15" t="inlineStr">
        <is>
          <t>Shared modalities</t>
        </is>
      </c>
      <c r="D15">
        <f>Overlap_Matrix!H8</f>
        <v/>
      </c>
      <c r="E15">
        <f>Overlap_Matrix!I8</f>
        <v/>
      </c>
      <c r="F15">
        <f>Overlap_Matrix!C8</f>
        <v/>
      </c>
      <c r="G15">
        <f>Overlap_Matrix!D8</f>
        <v/>
      </c>
      <c r="H15">
        <f>Overlap_Matrix!N8</f>
        <v/>
      </c>
    </row>
    <row r="16">
      <c r="A16">
        <f>Overlap_Matrix!A8</f>
        <v/>
      </c>
      <c r="B16">
        <f>Overlap_Matrix!B8</f>
        <v/>
      </c>
      <c r="C16" t="inlineStr">
        <is>
          <t>Shared target / mechanism</t>
        </is>
      </c>
      <c r="D16">
        <f>Overlap_Matrix!J8</f>
        <v/>
      </c>
      <c r="E16">
        <f>Overlap_Matrix!K8</f>
        <v/>
      </c>
      <c r="F16">
        <f>Overlap_Matrix!C8</f>
        <v/>
      </c>
      <c r="G16">
        <f>Overlap_Matrix!D8</f>
        <v/>
      </c>
      <c r="H16">
        <f>Overlap_Matrix!N8</f>
        <v/>
      </c>
    </row>
    <row r="17">
      <c r="A17">
        <f>Overlap_Matrix!A8</f>
        <v/>
      </c>
      <c r="B17">
        <f>Overlap_Matrix!B8</f>
        <v/>
      </c>
      <c r="C17" t="inlineStr">
        <is>
          <t>Stage alignment</t>
        </is>
      </c>
      <c r="D17">
        <f>Overlap_Matrix!L8</f>
        <v/>
      </c>
      <c r="E17">
        <f>Overlap_Matrix!M8</f>
        <v/>
      </c>
      <c r="F17">
        <f>Overlap_Matrix!C8</f>
        <v/>
      </c>
      <c r="G17">
        <f>Overlap_Matrix!D8</f>
        <v/>
      </c>
      <c r="H17">
        <f>Overlap_Matrix!N8</f>
        <v/>
      </c>
    </row>
    <row r="18">
      <c r="A18">
        <f>Overlap_Matrix!A9</f>
        <v/>
      </c>
      <c r="B18">
        <f>Overlap_Matrix!B9</f>
        <v/>
      </c>
      <c r="C18" t="inlineStr">
        <is>
          <t>Shared indications</t>
        </is>
      </c>
      <c r="D18">
        <f>Overlap_Matrix!F9</f>
        <v/>
      </c>
      <c r="E18">
        <f>Overlap_Matrix!G9</f>
        <v/>
      </c>
      <c r="F18">
        <f>Overlap_Matrix!C9</f>
        <v/>
      </c>
      <c r="G18">
        <f>Overlap_Matrix!D9</f>
        <v/>
      </c>
      <c r="H18">
        <f>Overlap_Matrix!N9</f>
        <v/>
      </c>
    </row>
    <row r="19">
      <c r="A19">
        <f>Overlap_Matrix!A9</f>
        <v/>
      </c>
      <c r="B19">
        <f>Overlap_Matrix!B9</f>
        <v/>
      </c>
      <c r="C19" t="inlineStr">
        <is>
          <t>Shared modalities</t>
        </is>
      </c>
      <c r="D19">
        <f>Overlap_Matrix!H9</f>
        <v/>
      </c>
      <c r="E19">
        <f>Overlap_Matrix!I9</f>
        <v/>
      </c>
      <c r="F19">
        <f>Overlap_Matrix!C9</f>
        <v/>
      </c>
      <c r="G19">
        <f>Overlap_Matrix!D9</f>
        <v/>
      </c>
      <c r="H19">
        <f>Overlap_Matrix!N9</f>
        <v/>
      </c>
    </row>
    <row r="20">
      <c r="A20">
        <f>Overlap_Matrix!A9</f>
        <v/>
      </c>
      <c r="B20">
        <f>Overlap_Matrix!B9</f>
        <v/>
      </c>
      <c r="C20" t="inlineStr">
        <is>
          <t>Shared target / mechanism</t>
        </is>
      </c>
      <c r="D20">
        <f>Overlap_Matrix!J9</f>
        <v/>
      </c>
      <c r="E20">
        <f>Overlap_Matrix!K9</f>
        <v/>
      </c>
      <c r="F20">
        <f>Overlap_Matrix!C9</f>
        <v/>
      </c>
      <c r="G20">
        <f>Overlap_Matrix!D9</f>
        <v/>
      </c>
      <c r="H20">
        <f>Overlap_Matrix!N9</f>
        <v/>
      </c>
    </row>
    <row r="21">
      <c r="A21">
        <f>Overlap_Matrix!A9</f>
        <v/>
      </c>
      <c r="B21">
        <f>Overlap_Matrix!B9</f>
        <v/>
      </c>
      <c r="C21" t="inlineStr">
        <is>
          <t>Stage alignment</t>
        </is>
      </c>
      <c r="D21">
        <f>Overlap_Matrix!L9</f>
        <v/>
      </c>
      <c r="E21">
        <f>Overlap_Matrix!M9</f>
        <v/>
      </c>
      <c r="F21">
        <f>Overlap_Matrix!C9</f>
        <v/>
      </c>
      <c r="G21">
        <f>Overlap_Matrix!D9</f>
        <v/>
      </c>
      <c r="H21">
        <f>Overlap_Matrix!N9</f>
        <v/>
      </c>
    </row>
    <row r="22">
      <c r="A22">
        <f>Overlap_Matrix!A10</f>
        <v/>
      </c>
      <c r="B22">
        <f>Overlap_Matrix!B10</f>
        <v/>
      </c>
      <c r="C22" t="inlineStr">
        <is>
          <t>Shared indications</t>
        </is>
      </c>
      <c r="D22">
        <f>Overlap_Matrix!F10</f>
        <v/>
      </c>
      <c r="E22">
        <f>Overlap_Matrix!G10</f>
        <v/>
      </c>
      <c r="F22">
        <f>Overlap_Matrix!C10</f>
        <v/>
      </c>
      <c r="G22">
        <f>Overlap_Matrix!D10</f>
        <v/>
      </c>
      <c r="H22">
        <f>Overlap_Matrix!N10</f>
        <v/>
      </c>
    </row>
    <row r="23">
      <c r="A23">
        <f>Overlap_Matrix!A10</f>
        <v/>
      </c>
      <c r="B23">
        <f>Overlap_Matrix!B10</f>
        <v/>
      </c>
      <c r="C23" t="inlineStr">
        <is>
          <t>Shared modalities</t>
        </is>
      </c>
      <c r="D23">
        <f>Overlap_Matrix!H10</f>
        <v/>
      </c>
      <c r="E23">
        <f>Overlap_Matrix!I10</f>
        <v/>
      </c>
      <c r="F23">
        <f>Overlap_Matrix!C10</f>
        <v/>
      </c>
      <c r="G23">
        <f>Overlap_Matrix!D10</f>
        <v/>
      </c>
      <c r="H23">
        <f>Overlap_Matrix!N10</f>
        <v/>
      </c>
    </row>
    <row r="24">
      <c r="A24">
        <f>Overlap_Matrix!A10</f>
        <v/>
      </c>
      <c r="B24">
        <f>Overlap_Matrix!B10</f>
        <v/>
      </c>
      <c r="C24" t="inlineStr">
        <is>
          <t>Shared target / mechanism</t>
        </is>
      </c>
      <c r="D24">
        <f>Overlap_Matrix!J10</f>
        <v/>
      </c>
      <c r="E24">
        <f>Overlap_Matrix!K10</f>
        <v/>
      </c>
      <c r="F24">
        <f>Overlap_Matrix!C10</f>
        <v/>
      </c>
      <c r="G24">
        <f>Overlap_Matrix!D10</f>
        <v/>
      </c>
      <c r="H24">
        <f>Overlap_Matrix!N10</f>
        <v/>
      </c>
    </row>
    <row r="25">
      <c r="A25">
        <f>Overlap_Matrix!A10</f>
        <v/>
      </c>
      <c r="B25">
        <f>Overlap_Matrix!B10</f>
        <v/>
      </c>
      <c r="C25" t="inlineStr">
        <is>
          <t>Stage alignment</t>
        </is>
      </c>
      <c r="D25">
        <f>Overlap_Matrix!L10</f>
        <v/>
      </c>
      <c r="E25">
        <f>Overlap_Matrix!M10</f>
        <v/>
      </c>
      <c r="F25">
        <f>Overlap_Matrix!C10</f>
        <v/>
      </c>
      <c r="G25">
        <f>Overlap_Matrix!D10</f>
        <v/>
      </c>
      <c r="H25">
        <f>Overlap_Matrix!N10</f>
        <v/>
      </c>
    </row>
    <row r="26">
      <c r="A26">
        <f>Overlap_Matrix!A11</f>
        <v/>
      </c>
      <c r="B26">
        <f>Overlap_Matrix!B11</f>
        <v/>
      </c>
      <c r="C26" t="inlineStr">
        <is>
          <t>Shared indications</t>
        </is>
      </c>
      <c r="D26">
        <f>Overlap_Matrix!F11</f>
        <v/>
      </c>
      <c r="E26">
        <f>Overlap_Matrix!G11</f>
        <v/>
      </c>
      <c r="F26">
        <f>Overlap_Matrix!C11</f>
        <v/>
      </c>
      <c r="G26">
        <f>Overlap_Matrix!D11</f>
        <v/>
      </c>
      <c r="H26">
        <f>Overlap_Matrix!N11</f>
        <v/>
      </c>
    </row>
    <row r="27">
      <c r="A27">
        <f>Overlap_Matrix!A11</f>
        <v/>
      </c>
      <c r="B27">
        <f>Overlap_Matrix!B11</f>
        <v/>
      </c>
      <c r="C27" t="inlineStr">
        <is>
          <t>Shared modalities</t>
        </is>
      </c>
      <c r="D27">
        <f>Overlap_Matrix!H11</f>
        <v/>
      </c>
      <c r="E27">
        <f>Overlap_Matrix!I11</f>
        <v/>
      </c>
      <c r="F27">
        <f>Overlap_Matrix!C11</f>
        <v/>
      </c>
      <c r="G27">
        <f>Overlap_Matrix!D11</f>
        <v/>
      </c>
      <c r="H27">
        <f>Overlap_Matrix!N11</f>
        <v/>
      </c>
    </row>
    <row r="28">
      <c r="A28">
        <f>Overlap_Matrix!A11</f>
        <v/>
      </c>
      <c r="B28">
        <f>Overlap_Matrix!B11</f>
        <v/>
      </c>
      <c r="C28" t="inlineStr">
        <is>
          <t>Shared target / mechanism</t>
        </is>
      </c>
      <c r="D28">
        <f>Overlap_Matrix!J11</f>
        <v/>
      </c>
      <c r="E28">
        <f>Overlap_Matrix!K11</f>
        <v/>
      </c>
      <c r="F28">
        <f>Overlap_Matrix!C11</f>
        <v/>
      </c>
      <c r="G28">
        <f>Overlap_Matrix!D11</f>
        <v/>
      </c>
      <c r="H28">
        <f>Overlap_Matrix!N11</f>
        <v/>
      </c>
    </row>
    <row r="29">
      <c r="A29">
        <f>Overlap_Matrix!A11</f>
        <v/>
      </c>
      <c r="B29">
        <f>Overlap_Matrix!B11</f>
        <v/>
      </c>
      <c r="C29" t="inlineStr">
        <is>
          <t>Stage alignment</t>
        </is>
      </c>
      <c r="D29">
        <f>Overlap_Matrix!L11</f>
        <v/>
      </c>
      <c r="E29">
        <f>Overlap_Matrix!M11</f>
        <v/>
      </c>
      <c r="F29">
        <f>Overlap_Matrix!C11</f>
        <v/>
      </c>
      <c r="G29">
        <f>Overlap_Matrix!D11</f>
        <v/>
      </c>
      <c r="H29">
        <f>Overlap_Matrix!N11</f>
        <v/>
      </c>
    </row>
    <row r="30">
      <c r="A30">
        <f>Overlap_Matrix!A12</f>
        <v/>
      </c>
      <c r="B30">
        <f>Overlap_Matrix!B12</f>
        <v/>
      </c>
      <c r="C30" t="inlineStr">
        <is>
          <t>Shared indications</t>
        </is>
      </c>
      <c r="D30">
        <f>Overlap_Matrix!F12</f>
        <v/>
      </c>
      <c r="E30">
        <f>Overlap_Matrix!G12</f>
        <v/>
      </c>
      <c r="F30">
        <f>Overlap_Matrix!C12</f>
        <v/>
      </c>
      <c r="G30">
        <f>Overlap_Matrix!D12</f>
        <v/>
      </c>
      <c r="H30">
        <f>Overlap_Matrix!N12</f>
        <v/>
      </c>
    </row>
    <row r="31">
      <c r="A31">
        <f>Overlap_Matrix!A12</f>
        <v/>
      </c>
      <c r="B31">
        <f>Overlap_Matrix!B12</f>
        <v/>
      </c>
      <c r="C31" t="inlineStr">
        <is>
          <t>Shared modalities</t>
        </is>
      </c>
      <c r="D31">
        <f>Overlap_Matrix!H12</f>
        <v/>
      </c>
      <c r="E31">
        <f>Overlap_Matrix!I12</f>
        <v/>
      </c>
      <c r="F31">
        <f>Overlap_Matrix!C12</f>
        <v/>
      </c>
      <c r="G31">
        <f>Overlap_Matrix!D12</f>
        <v/>
      </c>
      <c r="H31">
        <f>Overlap_Matrix!N12</f>
        <v/>
      </c>
    </row>
    <row r="32">
      <c r="A32">
        <f>Overlap_Matrix!A12</f>
        <v/>
      </c>
      <c r="B32">
        <f>Overlap_Matrix!B12</f>
        <v/>
      </c>
      <c r="C32" t="inlineStr">
        <is>
          <t>Shared target / mechanism</t>
        </is>
      </c>
      <c r="D32">
        <f>Overlap_Matrix!J12</f>
        <v/>
      </c>
      <c r="E32">
        <f>Overlap_Matrix!K12</f>
        <v/>
      </c>
      <c r="F32">
        <f>Overlap_Matrix!C12</f>
        <v/>
      </c>
      <c r="G32">
        <f>Overlap_Matrix!D12</f>
        <v/>
      </c>
      <c r="H32">
        <f>Overlap_Matrix!N12</f>
        <v/>
      </c>
    </row>
    <row r="33">
      <c r="A33">
        <f>Overlap_Matrix!A12</f>
        <v/>
      </c>
      <c r="B33">
        <f>Overlap_Matrix!B12</f>
        <v/>
      </c>
      <c r="C33" t="inlineStr">
        <is>
          <t>Stage alignment</t>
        </is>
      </c>
      <c r="D33">
        <f>Overlap_Matrix!L12</f>
        <v/>
      </c>
      <c r="E33">
        <f>Overlap_Matrix!M12</f>
        <v/>
      </c>
      <c r="F33">
        <f>Overlap_Matrix!C12</f>
        <v/>
      </c>
      <c r="G33">
        <f>Overlap_Matrix!D12</f>
        <v/>
      </c>
      <c r="H33">
        <f>Overlap_Matrix!N12</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D21"/>
  <sheetViews>
    <sheetView showGridLines="0" workbookViewId="0">
      <selection activeCell="A1" sqref="A1"/>
    </sheetView>
  </sheetViews>
  <sheetFormatPr baseColWidth="8" defaultRowHeight="15"/>
  <cols>
    <col width="27" customWidth="1" min="1" max="1"/>
    <col width="22" customWidth="1" min="2" max="2"/>
    <col width="25" customWidth="1" min="3" max="3"/>
    <col width="34" customWidth="1" min="4" max="4"/>
  </cols>
  <sheetData>
    <row r="1">
      <c r="A1" s="41" t="inlineStr">
        <is>
          <t>Visual settings and encoding</t>
        </is>
      </c>
    </row>
    <row r="3">
      <c r="A3" s="42" t="inlineStr">
        <is>
          <t>Element</t>
        </is>
      </c>
      <c r="B3" s="42" t="inlineStr">
        <is>
          <t>Hex</t>
        </is>
      </c>
      <c r="C3" s="42" t="inlineStr">
        <is>
          <t>Use</t>
        </is>
      </c>
      <c r="D3" s="42" t="inlineStr">
        <is>
          <t>Notes</t>
        </is>
      </c>
    </row>
    <row r="4">
      <c r="A4" s="43" t="inlineStr">
        <is>
          <t>AstraZeneca primary</t>
        </is>
      </c>
      <c r="B4" s="44" t="inlineStr">
        <is>
          <t>#7A1F63</t>
        </is>
      </c>
      <c r="C4" s="43" t="inlineStr">
        <is>
          <t>Stacked bar</t>
        </is>
      </c>
      <c r="D4" s="43" t="inlineStr">
        <is>
          <t>Logo-inspired plum</t>
        </is>
      </c>
    </row>
    <row r="5">
      <c r="A5" s="43" t="inlineStr">
        <is>
          <t>AstraZeneca accent</t>
        </is>
      </c>
      <c r="B5" s="45" t="inlineStr">
        <is>
          <t>#D7A900</t>
        </is>
      </c>
      <c r="C5" s="43" t="inlineStr">
        <is>
          <t>Thin bar/legend accent</t>
        </is>
      </c>
      <c r="D5" s="43" t="inlineStr">
        <is>
          <t>Logo-inspired gold</t>
        </is>
      </c>
    </row>
    <row r="6">
      <c r="A6" s="43" t="inlineStr">
        <is>
          <t>BMS primary</t>
        </is>
      </c>
      <c r="B6" s="46" t="inlineStr">
        <is>
          <t>#263B73</t>
        </is>
      </c>
      <c r="C6" s="43" t="inlineStr">
        <is>
          <t>Stacked bar</t>
        </is>
      </c>
      <c r="D6" s="43" t="inlineStr">
        <is>
          <t>Logo-inspired navy</t>
        </is>
      </c>
    </row>
    <row r="7">
      <c r="A7" s="43" t="inlineStr">
        <is>
          <t>BMS accent</t>
        </is>
      </c>
      <c r="B7" s="47" t="inlineStr">
        <is>
          <t>#76519A</t>
        </is>
      </c>
      <c r="C7" s="43" t="inlineStr">
        <is>
          <t>Thin bar/legend accent</t>
        </is>
      </c>
      <c r="D7" s="43" t="inlineStr">
        <is>
          <t>Hand-mark-inspired violet</t>
        </is>
      </c>
    </row>
    <row r="8">
      <c r="A8" s="43" t="inlineStr">
        <is>
          <t>Overlap - limited</t>
        </is>
      </c>
      <c r="B8" s="48" t="inlineStr">
        <is>
          <t>#F7D3D0</t>
        </is>
      </c>
      <c r="C8" s="43" t="inlineStr">
        <is>
          <t>Bubble fill</t>
        </is>
      </c>
      <c r="D8" s="43" t="inlineStr">
        <is>
          <t>Low directness</t>
        </is>
      </c>
    </row>
    <row r="9">
      <c r="A9" s="43" t="inlineStr">
        <is>
          <t>Overlap - moderate</t>
        </is>
      </c>
      <c r="B9" s="49" t="inlineStr">
        <is>
          <t>#ED756D</t>
        </is>
      </c>
      <c r="C9" s="43" t="inlineStr">
        <is>
          <t>Bubble fill</t>
        </is>
      </c>
      <c r="D9" s="43" t="inlineStr">
        <is>
          <t>Medium directness</t>
        </is>
      </c>
    </row>
    <row r="10">
      <c r="A10" s="43" t="inlineStr">
        <is>
          <t>Overlap - strong</t>
        </is>
      </c>
      <c r="B10" s="50" t="inlineStr">
        <is>
          <t>#C51F36</t>
        </is>
      </c>
      <c r="C10" s="43" t="inlineStr">
        <is>
          <t>Bubble fill</t>
        </is>
      </c>
      <c r="D10" s="43" t="inlineStr">
        <is>
          <t>High directness</t>
        </is>
      </c>
    </row>
    <row r="11">
      <c r="A11" s="43" t="inlineStr">
        <is>
          <t>Bubble outline</t>
        </is>
      </c>
      <c r="B11" s="51" t="inlineStr">
        <is>
          <t>#8E1829</t>
        </is>
      </c>
      <c r="C11" s="43" t="inlineStr">
        <is>
          <t>Bubble border</t>
        </is>
      </c>
      <c r="D11" s="43" t="inlineStr">
        <is>
          <t>Consistent red boundary</t>
        </is>
      </c>
    </row>
    <row r="12">
      <c r="A12" s="43" t="inlineStr">
        <is>
          <t>Page background</t>
        </is>
      </c>
      <c r="B12" s="52" t="inlineStr">
        <is>
          <t>#F4F1EC</t>
        </is>
      </c>
      <c r="C12" s="43" t="inlineStr">
        <is>
          <t>Canvas</t>
        </is>
      </c>
      <c r="D12" s="43" t="inlineStr">
        <is>
          <t>Warm neutral</t>
        </is>
      </c>
    </row>
    <row r="13">
      <c r="A13" s="43" t="inlineStr">
        <is>
          <t>Card background</t>
        </is>
      </c>
      <c r="B13" s="53" t="inlineStr">
        <is>
          <t>#FFFFFF</t>
        </is>
      </c>
      <c r="C13" s="43" t="inlineStr">
        <is>
          <t>Main panel</t>
        </is>
      </c>
      <c r="D13" s="43" t="inlineStr">
        <is>
          <t>White</t>
        </is>
      </c>
    </row>
    <row r="14">
      <c r="A14" s="43" t="inlineStr">
        <is>
          <t>Primary text</t>
        </is>
      </c>
      <c r="B14" s="54" t="inlineStr">
        <is>
          <t>#182230</t>
        </is>
      </c>
      <c r="C14" s="43" t="inlineStr">
        <is>
          <t>Text</t>
        </is>
      </c>
      <c r="D14" s="43" t="inlineStr">
        <is>
          <t>Dark ink</t>
        </is>
      </c>
    </row>
    <row r="17">
      <c r="A17" s="39" t="inlineStr">
        <is>
          <t>Encoding definitions</t>
        </is>
      </c>
    </row>
    <row r="18" ht="30" customHeight="1">
      <c r="A18" s="55" t="inlineStr">
        <is>
          <t>Stacked-bar height</t>
        </is>
      </c>
      <c r="B18" s="40" t="inlineStr">
        <is>
          <t>Number of unique late-stage programs by company and disease area</t>
        </is>
      </c>
    </row>
    <row r="19" ht="30" customHeight="1">
      <c r="A19" s="55" t="inlineStr">
        <is>
          <t>Bubble label + size</t>
        </is>
      </c>
      <c r="B19" s="40" t="inlineStr">
        <is>
          <t>Number of distinct shared overlap units in the corresponding disease area and portfolio dimension</t>
        </is>
      </c>
    </row>
    <row r="20" ht="30" customHeight="1">
      <c r="A20" s="55" t="inlineStr">
        <is>
          <t>Bubble red tone</t>
        </is>
      </c>
      <c r="B20" s="40" t="inlineStr">
        <is>
          <t>Analyst-coded directness: 1 limited, 2 moderate, 3 strong</t>
        </is>
      </c>
    </row>
    <row r="21" ht="30" customHeight="1">
      <c r="A21" s="55" t="inlineStr">
        <is>
          <t>Hollow circle</t>
        </is>
      </c>
      <c r="B21" s="40" t="inlineStr">
        <is>
          <t>No identified overlap unit under the current normalization</t>
        </is>
      </c>
    </row>
  </sheetData>
  <mergeCells count="6">
    <mergeCell ref="A1:D1"/>
    <mergeCell ref="A17:D17"/>
    <mergeCell ref="B19:D19"/>
    <mergeCell ref="B18:D18"/>
    <mergeCell ref="B21:D21"/>
    <mergeCell ref="B20:D20"/>
  </mergeCell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E12"/>
  <sheetViews>
    <sheetView showGridLines="0" workbookViewId="0">
      <selection activeCell="A1" sqref="A1"/>
    </sheetView>
  </sheetViews>
  <sheetFormatPr baseColWidth="8" defaultRowHeight="15"/>
  <cols>
    <col width="34" customWidth="1" min="1" max="1"/>
    <col width="16" customWidth="1" min="2" max="2"/>
    <col width="22" customWidth="1" min="3" max="3"/>
    <col width="12" customWidth="1" min="4" max="4"/>
    <col width="22" customWidth="1" min="5" max="5"/>
    <col width="15" customWidth="1" min="6" max="6"/>
  </cols>
  <sheetData>
    <row r="1">
      <c r="A1" s="12" t="inlineStr">
        <is>
          <t>Portfolio summary (formula-driven)</t>
        </is>
      </c>
    </row>
    <row r="3">
      <c r="A3" s="13" t="inlineStr">
        <is>
          <t>Normalized area</t>
        </is>
      </c>
      <c r="B3" s="13" t="inlineStr">
        <is>
          <t>AstraZeneca</t>
        </is>
      </c>
      <c r="C3" s="13" t="inlineStr">
        <is>
          <t>Bristol Myers Squibb</t>
        </is>
      </c>
      <c r="D3" s="13" t="inlineStr">
        <is>
          <t>Combined</t>
        </is>
      </c>
      <c r="E3" s="13" t="inlineStr">
        <is>
          <t>Portfolio relationship</t>
        </is>
      </c>
    </row>
    <row r="4">
      <c r="A4" s="14" t="inlineStr">
        <is>
          <t>Solid-tumor oncology</t>
        </is>
      </c>
      <c r="B4" s="15">
        <f>COUNTIFS(Asset_Data!$A:$A,"AstraZeneca",Asset_Data!$C:$C,$A4)</f>
        <v/>
      </c>
      <c r="C4" s="15">
        <f>COUNTIFS(Asset_Data!$A:$A,"Bristol Myers Squibb",Asset_Data!$C:$C,$A4)</f>
        <v/>
      </c>
      <c r="D4" s="16">
        <f>SUM(B4:C4)</f>
        <v/>
      </c>
      <c r="E4" s="15">
        <f>IF(AND(B4&gt;0,C4&gt;0),"Shared territory","One-sided strength")</f>
        <v/>
      </c>
    </row>
    <row r="5">
      <c r="A5" t="inlineStr">
        <is>
          <t>Immunology, respiratory &amp; fibrosis</t>
        </is>
      </c>
      <c r="B5" s="18">
        <f>COUNTIFS(Asset_Data!$A:$A,"AstraZeneca",Asset_Data!$C:$C,$A5)</f>
        <v/>
      </c>
      <c r="C5" s="18">
        <f>COUNTIFS(Asset_Data!$A:$A,"Bristol Myers Squibb",Asset_Data!$C:$C,$A5)</f>
        <v/>
      </c>
      <c r="D5" s="19">
        <f>SUM(B5:C5)</f>
        <v/>
      </c>
      <c r="E5" s="18">
        <f>IF(AND(B5&gt;0,C5&gt;0),"Shared territory","One-sided strength")</f>
        <v/>
      </c>
    </row>
    <row r="6">
      <c r="A6" s="14" t="inlineStr">
        <is>
          <t>Hematology</t>
        </is>
      </c>
      <c r="B6" s="15">
        <f>COUNTIFS(Asset_Data!$A:$A,"AstraZeneca",Asset_Data!$C:$C,$A6)</f>
        <v/>
      </c>
      <c r="C6" s="15">
        <f>COUNTIFS(Asset_Data!$A:$A,"Bristol Myers Squibb",Asset_Data!$C:$C,$A6)</f>
        <v/>
      </c>
      <c r="D6" s="16">
        <f>SUM(B6:C6)</f>
        <v/>
      </c>
      <c r="E6" s="15">
        <f>IF(AND(B6&gt;0,C6&gt;0),"Shared territory","One-sided strength")</f>
        <v/>
      </c>
    </row>
    <row r="7">
      <c r="A7" t="inlineStr">
        <is>
          <t>Cardiovascular</t>
        </is>
      </c>
      <c r="B7" s="18">
        <f>COUNTIFS(Asset_Data!$A:$A,"AstraZeneca",Asset_Data!$C:$C,$A7)</f>
        <v/>
      </c>
      <c r="C7" s="18">
        <f>COUNTIFS(Asset_Data!$A:$A,"Bristol Myers Squibb",Asset_Data!$C:$C,$A7)</f>
        <v/>
      </c>
      <c r="D7" s="19">
        <f>SUM(B7:C7)</f>
        <v/>
      </c>
      <c r="E7" s="18">
        <f>IF(AND(B7&gt;0,C7&gt;0),"Shared territory","One-sided strength")</f>
        <v/>
      </c>
    </row>
    <row r="8">
      <c r="A8" s="14" t="inlineStr">
        <is>
          <t>Rare disease</t>
        </is>
      </c>
      <c r="B8" s="15">
        <f>COUNTIFS(Asset_Data!$A:$A,"AstraZeneca",Asset_Data!$C:$C,$A8)</f>
        <v/>
      </c>
      <c r="C8" s="15">
        <f>COUNTIFS(Asset_Data!$A:$A,"Bristol Myers Squibb",Asset_Data!$C:$C,$A8)</f>
        <v/>
      </c>
      <c r="D8" s="16">
        <f>SUM(B8:C8)</f>
        <v/>
      </c>
      <c r="E8" s="15">
        <f>IF(AND(B8&gt;0,C8&gt;0),"Shared territory","One-sided strength")</f>
        <v/>
      </c>
    </row>
    <row r="9">
      <c r="A9" t="inlineStr">
        <is>
          <t>Renal &amp; metabolic</t>
        </is>
      </c>
      <c r="B9" s="18">
        <f>COUNTIFS(Asset_Data!$A:$A,"AstraZeneca",Asset_Data!$C:$C,$A9)</f>
        <v/>
      </c>
      <c r="C9" s="18">
        <f>COUNTIFS(Asset_Data!$A:$A,"Bristol Myers Squibb",Asset_Data!$C:$C,$A9)</f>
        <v/>
      </c>
      <c r="D9" s="19">
        <f>SUM(B9:C9)</f>
        <v/>
      </c>
      <c r="E9" s="18">
        <f>IF(AND(B9&gt;0,C9&gt;0),"Shared territory","One-sided strength")</f>
        <v/>
      </c>
    </row>
    <row r="10">
      <c r="A10" s="14" t="inlineStr">
        <is>
          <t>Infectious disease</t>
        </is>
      </c>
      <c r="B10" s="15">
        <f>COUNTIFS(Asset_Data!$A:$A,"AstraZeneca",Asset_Data!$C:$C,$A10)</f>
        <v/>
      </c>
      <c r="C10" s="15">
        <f>COUNTIFS(Asset_Data!$A:$A,"Bristol Myers Squibb",Asset_Data!$C:$C,$A10)</f>
        <v/>
      </c>
      <c r="D10" s="16">
        <f>SUM(B10:C10)</f>
        <v/>
      </c>
      <c r="E10" s="15">
        <f>IF(AND(B10&gt;0,C10&gt;0),"Shared territory","One-sided strength")</f>
        <v/>
      </c>
    </row>
    <row r="11">
      <c r="A11" t="inlineStr">
        <is>
          <t>Neuroscience</t>
        </is>
      </c>
      <c r="B11" s="18">
        <f>COUNTIFS(Asset_Data!$A:$A,"AstraZeneca",Asset_Data!$C:$C,$A11)</f>
        <v/>
      </c>
      <c r="C11" s="18">
        <f>COUNTIFS(Asset_Data!$A:$A,"Bristol Myers Squibb",Asset_Data!$C:$C,$A11)</f>
        <v/>
      </c>
      <c r="D11" s="19">
        <f>SUM(B11:C11)</f>
        <v/>
      </c>
      <c r="E11" s="18">
        <f>IF(AND(B11&gt;0,C11&gt;0),"Shared territory","One-sided strength")</f>
        <v/>
      </c>
    </row>
    <row r="12">
      <c r="A12" s="21" t="inlineStr">
        <is>
          <t>Total</t>
        </is>
      </c>
      <c r="B12" s="21">
        <f>SUM(B4:B11)</f>
        <v/>
      </c>
      <c r="C12" s="21">
        <f>SUM(C4:C11)</f>
        <v/>
      </c>
      <c r="D12" s="21">
        <f>SUM(D4:D11)</f>
        <v/>
      </c>
    </row>
  </sheetData>
  <pageMargins left="0.7" right="0.7" top="0.75" bottom="0.75" header="0.3" footer="0.3"/>
  <drawing xmlns:r="http://schemas.openxmlformats.org/officeDocument/2006/relationships" r:id="rId1"/>
</worksheet>
</file>

<file path=xl/worksheets/sheet9.xml><?xml version="1.0" encoding="utf-8"?>
<worksheet xmlns="http://schemas.openxmlformats.org/spreadsheetml/2006/main">
  <sheetPr>
    <outlinePr summaryBelow="1" summaryRight="1"/>
    <pageSetUpPr/>
  </sheetPr>
  <dimension ref="A1:A9"/>
  <sheetViews>
    <sheetView showGridLines="0" workbookViewId="0">
      <selection activeCell="A1" sqref="A1"/>
    </sheetView>
  </sheetViews>
  <sheetFormatPr baseColWidth="8" defaultRowHeight="15"/>
  <cols>
    <col width="105" customWidth="1" min="1" max="1"/>
  </cols>
  <sheetData>
    <row r="1">
      <c r="A1" s="12" t="inlineStr">
        <is>
          <t>LinkedIn post draft</t>
        </is>
      </c>
    </row>
    <row r="3" ht="520" customHeight="1">
      <c r="A3" s="22" t="inlineStr">
        <is>
          <t>The AstraZeneca–BMS rumor appears to be off the table. But the portfolio thought experiment is still interesting.
I mapped the companies’ Phase II/III investigational portfolios using matched February 2026 company disclosures.
The result looks less like a simple “R&amp;D machine” and more like a mix of portfolio fit and collision.
The collision zone is oncology.
Across the mapped portfolio, the two companies have 18 solid-tumor programs and 8 hematology programs. Both are active in immuno-oncology and lung cancer, while the broader pipelines span ADCs, bispecifics, radiopharmaceuticals, cell therapy and targeted protein degradation.
The complementarity is mostly outside oncology.
AstraZeneca contributes much more breadth in rare disease, renal/metabolic disease and infectious disease. BMS adds a distinct neuroscience position, while both companies also overlap in immunology/respiratory/fibrosis and cardiovascular disease.
The real integration question would not be whether the combined company had enough assets. It would be which programs, platforms, teams and partnerships would survive portfolio prioritization.
More breadth creates more optionality—but also more duplication and harder choices.
My takeaway: the strategic value would depend less on adding the two pipelines together, and more on how aggressively management rationalized the overlap without disrupting the science that created it.
What would you scrutinize first: portfolio overlap, patent cliffs or integration risk?
Data note: unique lead investigational assets/programs in Phase II or III/pivotal/registration; matched AstraZeneca (Feb. 10, 2026) and BMS (Feb. 5, 2026) disclosures; approved-indication expansions and significant life-cycle-management programs excluded.</t>
        </is>
      </c>
    </row>
    <row r="5">
      <c r="A5" s="2" t="inlineStr">
        <is>
          <t>Optional shorter opening</t>
        </is>
      </c>
    </row>
    <row r="6">
      <c r="A6" s="23" t="inlineStr">
        <is>
          <t>The rumor may be dead. The portfolio question is not: would AstraZeneca + BMS create strategic fit—or force a wave of R&amp;D rationalization?</t>
        </is>
      </c>
    </row>
    <row r="8">
      <c r="A8" s="2" t="inlineStr">
        <is>
          <t>Suggested hashtags</t>
        </is>
      </c>
    </row>
    <row r="9">
      <c r="A9" t="inlineStr">
        <is>
          <t>#Pharma #Biotech #DrugDevelopment #Oncology #Strategy #MergersAndAcquisitions</t>
        </is>
      </c>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D10"/>
  <sheetViews>
    <sheetView showGridLines="0" workbookViewId="0">
      <selection activeCell="A1" sqref="A1"/>
    </sheetView>
  </sheetViews>
  <sheetFormatPr baseColWidth="8" defaultRowHeight="15"/>
  <cols>
    <col width="38" customWidth="1" min="1" max="1"/>
    <col width="20" customWidth="1" min="2" max="2"/>
    <col width="65" customWidth="1" min="3" max="3"/>
    <col width="80" customWidth="1" min="4" max="4"/>
  </cols>
  <sheetData>
    <row r="1">
      <c r="A1" s="2" t="inlineStr">
        <is>
          <t>Source</t>
        </is>
      </c>
      <c r="B1" s="2" t="inlineStr">
        <is>
          <t>Date</t>
        </is>
      </c>
      <c r="C1" s="2" t="inlineStr">
        <is>
          <t>Use</t>
        </is>
      </c>
      <c r="D1" s="2" t="inlineStr">
        <is>
          <t>URL</t>
        </is>
      </c>
    </row>
    <row r="2" ht="42" customHeight="1">
      <c r="A2" s="10" t="inlineStr">
        <is>
          <t>AstraZeneca Development Pipeline 2025</t>
        </is>
      </c>
      <c r="B2" s="10" t="inlineStr">
        <is>
          <t>2026-02-10</t>
        </is>
      </c>
      <c r="C2" s="10" t="inlineStr">
        <is>
          <t>Matched portfolio count and program stage</t>
        </is>
      </c>
      <c r="D2" s="9" t="inlineStr">
        <is>
          <t>https://www.astrazeneca.com/content/dam/az/Investor_Relations/annual-report-2025/pdf/AstraZeneca_Development_Pipeline_2025.pdf</t>
        </is>
      </c>
    </row>
    <row r="3" ht="42" customHeight="1">
      <c r="A3" s="10" t="inlineStr">
        <is>
          <t>BMS Development Portfolio 2025</t>
        </is>
      </c>
      <c r="B3" s="10" t="inlineStr">
        <is>
          <t>2026-02-05</t>
        </is>
      </c>
      <c r="C3" s="10" t="inlineStr">
        <is>
          <t>Matched portfolio count and program stage</t>
        </is>
      </c>
      <c r="D3" s="9" t="inlineStr">
        <is>
          <t>https://annual-report.bms.com/assets/bms-ar/documents/2025/2025-bms-development-portfolio.pdf</t>
        </is>
      </c>
    </row>
    <row r="4" ht="42" customHeight="1">
      <c r="A4" s="10" t="inlineStr">
        <is>
          <t>ClinicalTrials.gov</t>
        </is>
      </c>
      <c r="B4" s="10" t="inlineStr">
        <is>
          <t>Records checked through 2026-08-05</t>
        </is>
      </c>
      <c r="C4" s="10" t="inlineStr">
        <is>
          <t>Trial phase, setting and primary-completion timing</t>
        </is>
      </c>
      <c r="D4" s="9" t="inlineStr">
        <is>
          <t>https://clinicaltrials.gov/</t>
        </is>
      </c>
    </row>
    <row r="5" ht="42" customHeight="1">
      <c r="A5" s="10" t="inlineStr">
        <is>
          <t>AstraZeneca 2025 Form 20-F</t>
        </is>
      </c>
      <c r="B5" s="10" t="inlineStr">
        <is>
          <t>2026-02-24</t>
        </is>
      </c>
      <c r="C5" s="10" t="inlineStr">
        <is>
          <t>2023-2025 product revenue and disclosed patent / exclusivity dates</t>
        </is>
      </c>
      <c r="D5" s="9" t="inlineStr">
        <is>
          <t>https://www.sec.gov/Archives/edgar/data/901832/000110465926019130/azn-20251231x20f.htm</t>
        </is>
      </c>
    </row>
    <row r="6" ht="42" customHeight="1">
      <c r="A6" s="10" t="inlineStr">
        <is>
          <t>BMS Key Facts</t>
        </is>
      </c>
      <c r="B6" s="10" t="inlineStr">
        <is>
          <t>Updated May 2026</t>
        </is>
      </c>
      <c r="C6" s="10" t="inlineStr">
        <is>
          <t>2025 product revenue benchmarks</t>
        </is>
      </c>
      <c r="D6" s="9" t="inlineStr">
        <is>
          <t>https://www.bms.com/investors/financial-reporting/key-facts.html</t>
        </is>
      </c>
    </row>
    <row r="7">
      <c r="A7" t="inlineStr">
        <is>
          <t>BMS FY2021 Results</t>
        </is>
      </c>
      <c r="B7" t="inlineStr">
        <is>
          <t>2022-02-04</t>
        </is>
      </c>
      <c r="C7" t="inlineStr">
        <is>
          <t>Historical multiple-myeloma franchise benchmark</t>
        </is>
      </c>
      <c r="D7" t="inlineStr">
        <is>
          <t>https://news.bms.com/news/details/2022/Bristol-Myers-Squibb-Reports-Fourth-Quarter-and-Full-Year-Financial-Results-for-2021/default.aspx</t>
        </is>
      </c>
    </row>
    <row r="8">
      <c r="A8" t="inlineStr">
        <is>
          <t>AstraZeneca H1 and Q2 2026 results</t>
        </is>
      </c>
      <c r="B8" t="inlineStr">
        <is>
          <t>2026-07-27</t>
        </is>
      </c>
      <c r="C8" t="inlineStr">
        <is>
          <t>Etcamah and Baxfendy brand status; H1 2026 product revenue; Farxiga LOE impact</t>
        </is>
      </c>
      <c r="D8" t="inlineStr">
        <is>
          <t>https://www.rns-pdf.londonstockexchange.com/rns/9440N_1-2026-7-26.pdf</t>
        </is>
      </c>
    </row>
    <row r="9">
      <c r="A9" t="inlineStr">
        <is>
          <t>BMS 2025 Form 10-K</t>
        </is>
      </c>
      <c r="B9" t="inlineStr">
        <is>
          <t>2026-02-10</t>
        </is>
      </c>
      <c r="C9" t="inlineStr">
        <is>
          <t>2023-2025 product revenue and minimum market-exclusivity dates</t>
        </is>
      </c>
      <c r="D9" t="inlineStr">
        <is>
          <t>https://www.sec.gov/Archives/edgar/data/14272/000001427226000004/bmy-20251231.htm</t>
        </is>
      </c>
    </row>
    <row r="10">
      <c r="A10" t="inlineStr">
        <is>
          <t>BMS Q2 2026 results</t>
        </is>
      </c>
      <c r="B10" t="inlineStr">
        <is>
          <t>2026-07-30</t>
        </is>
      </c>
      <c r="C10" t="inlineStr">
        <is>
          <t>H1 2026 product revenue used to derive 2026E run-rate scenarios</t>
        </is>
      </c>
      <c r="D10" t="inlineStr">
        <is>
          <t>https://www.bms.com/assets/bms/us/en-us/pdf/investor-info/doc_financials/quarterly_reports/2026/ghBMY-Q2-2026-Earnings-Press-Release.pdf</t>
        </is>
      </c>
    </row>
  </sheetData>
  <autoFilter ref="A1:D10"/>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A2"/>
  <sheetViews>
    <sheetView showGridLines="0" workbookViewId="0">
      <selection activeCell="A1" sqref="A1"/>
    </sheetView>
  </sheetViews>
  <sheetFormatPr baseColWidth="8" defaultRowHeight="15"/>
  <cols>
    <col width="118" customWidth="1" min="1" max="1"/>
  </cols>
  <sheetData>
    <row r="1" ht="25" customHeight="1">
      <c r="A1" s="41" t="inlineStr">
        <is>
          <t>LinkedIn infographic - stacked footprint + count-based lollipop matrix</t>
        </is>
      </c>
    </row>
    <row r="2" ht="22" customHeight="1">
      <c r="A2" s="56" t="inlineStr">
        <is>
          <t>Bars use logo-inspired company colors; bubbles use a red directness scale.</t>
        </is>
      </c>
    </row>
    <row r="3" ht="20" customHeight="1"/>
    <row r="4" ht="20" customHeight="1"/>
    <row r="5" ht="20" customHeight="1"/>
    <row r="6" ht="20" customHeight="1"/>
    <row r="7" ht="20" customHeight="1"/>
    <row r="8" ht="20" customHeight="1"/>
    <row r="9" ht="20" customHeight="1"/>
    <row r="10" ht="20" customHeight="1"/>
    <row r="11" ht="20" customHeight="1"/>
    <row r="12" ht="20" customHeight="1"/>
    <row r="13" ht="20" customHeight="1"/>
    <row r="14" ht="20" customHeight="1"/>
    <row r="15" ht="20" customHeight="1"/>
    <row r="16" ht="20" customHeight="1"/>
    <row r="17" ht="20" customHeight="1"/>
    <row r="18" ht="20" customHeight="1"/>
    <row r="19" ht="20" customHeight="1"/>
    <row r="20" ht="20" customHeight="1"/>
    <row r="21" ht="20" customHeight="1"/>
    <row r="22" ht="20" customHeight="1"/>
    <row r="23" ht="20" customHeight="1"/>
    <row r="24" ht="20" customHeight="1"/>
    <row r="25" ht="20" customHeight="1"/>
    <row r="26" ht="20" customHeight="1"/>
    <row r="27" ht="20" customHeight="1"/>
    <row r="28" ht="20" customHeight="1"/>
    <row r="29" ht="20" customHeight="1"/>
    <row r="30" ht="20" customHeight="1"/>
    <row r="31" ht="20" customHeight="1"/>
    <row r="32" ht="20" customHeight="1"/>
    <row r="33" ht="20" customHeight="1"/>
    <row r="34" ht="20" customHeight="1"/>
    <row r="35" ht="20" customHeight="1"/>
    <row r="36" ht="20" customHeight="1"/>
    <row r="37" ht="20" customHeight="1"/>
    <row r="38" ht="20" customHeight="1"/>
    <row r="39" ht="20" customHeight="1"/>
    <row r="40" ht="20" customHeight="1"/>
    <row r="41" ht="20" customHeight="1"/>
    <row r="42" ht="20" customHeight="1"/>
    <row r="43" ht="20" customHeight="1"/>
    <row r="44" ht="20" customHeight="1"/>
    <row r="45" ht="20" customHeight="1"/>
    <row r="46" ht="20" customHeight="1"/>
    <row r="47" ht="20" customHeight="1"/>
    <row r="48" ht="20" customHeight="1"/>
    <row r="49" ht="20" customHeight="1"/>
    <row r="50" ht="20" customHeight="1"/>
    <row r="51" ht="20" customHeight="1"/>
    <row r="52" ht="20" customHeight="1"/>
    <row r="53" ht="20" customHeight="1"/>
    <row r="54" ht="20" customHeight="1"/>
    <row r="55" ht="20" customHeight="1"/>
    <row r="56" ht="20" customHeight="1"/>
    <row r="57" ht="20" customHeight="1"/>
    <row r="58" ht="20" customHeight="1"/>
    <row r="59" ht="20" customHeight="1"/>
  </sheetData>
  <pageMargins left="0.7" right="0.7" top="0.75" bottom="0.75" header="0.3" footer="0.3"/>
  <drawing xmlns:r="http://schemas.openxmlformats.org/officeDocument/2006/relationships" r:id="rId1"/>
</worksheet>
</file>

<file path=xl/worksheets/sheet12.xml><?xml version="1.0" encoding="utf-8"?>
<worksheet xmlns="http://schemas.openxmlformats.org/spreadsheetml/2006/main">
  <sheetPr>
    <outlinePr summaryBelow="1" summaryRight="1"/>
    <pageSetUpPr/>
  </sheetPr>
  <dimension ref="A1:J71"/>
  <sheetViews>
    <sheetView showGridLines="0" workbookViewId="0">
      <selection activeCell="A1" sqref="A1"/>
    </sheetView>
  </sheetViews>
  <sheetFormatPr baseColWidth="8" defaultRowHeight="15"/>
  <cols>
    <col width="25" customWidth="1" min="1" max="1"/>
    <col width="31" customWidth="1" min="2" max="2"/>
    <col width="27" customWidth="1" min="3" max="3"/>
    <col width="14" customWidth="1" min="4" max="4"/>
    <col width="10" customWidth="1" min="5" max="5"/>
    <col width="10" customWidth="1" min="6" max="6"/>
    <col width="38" customWidth="1" min="7" max="7"/>
    <col width="38" customWidth="1" min="8" max="8"/>
    <col width="22" customWidth="1" min="9" max="9"/>
    <col width="22" customWidth="1" min="10" max="10"/>
  </cols>
  <sheetData>
    <row r="1" ht="32" customHeight="1">
      <c r="A1" s="70" t="inlineStr">
        <is>
          <t>Fit vs collision matrix - indication territory × modality family</t>
        </is>
      </c>
    </row>
    <row r="2" ht="34" customHeight="1">
      <c r="A2" s="71" t="inlineStr">
        <is>
          <t>AZ-only and BMS-only cells indicate complementarity in the matched late-stage snapshot; overlap cells indicate both companies occupy the same normalized modality × indication territory.</t>
        </is>
      </c>
    </row>
    <row r="4">
      <c r="A4" s="62" t="inlineStr">
        <is>
          <t>Disease area</t>
        </is>
      </c>
      <c r="B4" s="62" t="inlineStr">
        <is>
          <t>Modality family</t>
        </is>
      </c>
      <c r="C4" s="62" t="inlineStr">
        <is>
          <t>Indication territory</t>
        </is>
      </c>
      <c r="D4" s="62" t="inlineStr">
        <is>
          <t>Status</t>
        </is>
      </c>
      <c r="E4" s="62" t="inlineStr">
        <is>
          <t>AZ count</t>
        </is>
      </c>
      <c r="F4" s="62" t="inlineStr">
        <is>
          <t>BMS count</t>
        </is>
      </c>
      <c r="G4" s="62" t="inlineStr">
        <is>
          <t>AZ programs</t>
        </is>
      </c>
      <c r="H4" s="62" t="inlineStr">
        <is>
          <t>BMS programs</t>
        </is>
      </c>
      <c r="I4" s="62" t="inlineStr">
        <is>
          <t>AZ source</t>
        </is>
      </c>
      <c r="J4" s="62" t="inlineStr">
        <is>
          <t>BMS source</t>
        </is>
      </c>
    </row>
    <row r="5">
      <c r="A5" s="3" t="inlineStr">
        <is>
          <t>Solid-tumor oncology</t>
        </is>
      </c>
      <c r="B5" s="3" t="inlineStr">
        <is>
          <t>Antibody-drug conjugate</t>
        </is>
      </c>
      <c r="C5" s="3" t="inlineStr">
        <is>
          <t>NSCLC</t>
        </is>
      </c>
      <c r="D5" s="72" t="inlineStr">
        <is>
          <t>bms-only</t>
        </is>
      </c>
      <c r="E5" s="3" t="n">
        <v>0</v>
      </c>
      <c r="F5" s="3" t="n">
        <v>1</v>
      </c>
      <c r="G5" s="3" t="inlineStr"/>
      <c r="H5" s="3" t="inlineStr">
        <is>
          <t>izalontamab brengitecan (iza-bren)</t>
        </is>
      </c>
      <c r="I5" s="73" t="inlineStr">
        <is>
          <t>https://www.astrazeneca.com/content/dam/az/Investor_Relations/annual-report-2025/pdf/AstraZeneca_Development_Pipeline_2025.pdf</t>
        </is>
      </c>
      <c r="J5" s="73" t="inlineStr">
        <is>
          <t>https://annual-report.bms.com/assets/bms-ar/documents/2025/2025-bms-development-portfolio.pdf</t>
        </is>
      </c>
    </row>
    <row r="6">
      <c r="A6" s="3" t="inlineStr">
        <is>
          <t>Solid-tumor oncology</t>
        </is>
      </c>
      <c r="B6" s="3" t="inlineStr">
        <is>
          <t>Antibody-drug conjugate</t>
        </is>
      </c>
      <c r="C6" s="3" t="inlineStr">
        <is>
          <t>Breast cancer</t>
        </is>
      </c>
      <c r="D6" s="72" t="inlineStr">
        <is>
          <t>bms-only</t>
        </is>
      </c>
      <c r="E6" s="3" t="n">
        <v>0</v>
      </c>
      <c r="F6" s="3" t="n">
        <v>1</v>
      </c>
      <c r="G6" s="3" t="inlineStr"/>
      <c r="H6" s="3" t="inlineStr">
        <is>
          <t>izalontamab brengitecan (iza-bren)</t>
        </is>
      </c>
      <c r="I6" s="73" t="inlineStr">
        <is>
          <t>https://www.astrazeneca.com/content/dam/az/Investor_Relations/annual-report-2025/pdf/AstraZeneca_Development_Pipeline_2025.pdf</t>
        </is>
      </c>
      <c r="J6" s="73" t="inlineStr">
        <is>
          <t>https://annual-report.bms.com/assets/bms-ar/documents/2025/2025-bms-development-portfolio.pdf</t>
        </is>
      </c>
    </row>
    <row r="7">
      <c r="A7" s="3" t="inlineStr">
        <is>
          <t>Solid-tumor oncology</t>
        </is>
      </c>
      <c r="B7" s="3" t="inlineStr">
        <is>
          <t>Antibody-drug conjugate</t>
        </is>
      </c>
      <c r="C7" s="3" t="inlineStr">
        <is>
          <t>Gastric / GEJ</t>
        </is>
      </c>
      <c r="D7" s="74" t="inlineStr">
        <is>
          <t>az-only</t>
        </is>
      </c>
      <c r="E7" s="3" t="n">
        <v>1</v>
      </c>
      <c r="F7" s="3" t="n">
        <v>0</v>
      </c>
      <c r="G7" s="3" t="inlineStr">
        <is>
          <t>sonesitatug vedotin</t>
        </is>
      </c>
      <c r="H7" s="3" t="inlineStr"/>
      <c r="I7" s="73" t="inlineStr">
        <is>
          <t>https://www.astrazeneca.com/content/dam/az/Investor_Relations/annual-report-2025/pdf/AstraZeneca_Development_Pipeline_2025.pdf</t>
        </is>
      </c>
      <c r="J7" s="73" t="inlineStr">
        <is>
          <t>https://annual-report.bms.com/assets/bms-ar/documents/2025/2025-bms-development-portfolio.pdf</t>
        </is>
      </c>
    </row>
    <row r="8">
      <c r="A8" s="3" t="inlineStr">
        <is>
          <t>Solid-tumor oncology</t>
        </is>
      </c>
      <c r="B8" s="3" t="inlineStr">
        <is>
          <t>Antibody-drug conjugate</t>
        </is>
      </c>
      <c r="C8" s="3" t="inlineStr">
        <is>
          <t>Ovarian cancer</t>
        </is>
      </c>
      <c r="D8" s="74" t="inlineStr">
        <is>
          <t>az-only</t>
        </is>
      </c>
      <c r="E8" s="3" t="n">
        <v>1</v>
      </c>
      <c r="F8" s="3" t="n">
        <v>0</v>
      </c>
      <c r="G8" s="3" t="inlineStr">
        <is>
          <t>torvutatug samrotecan (AZD5335)</t>
        </is>
      </c>
      <c r="H8" s="3" t="inlineStr"/>
      <c r="I8" s="73" t="inlineStr">
        <is>
          <t>https://www.astrazeneca.com/content/dam/az/Investor_Relations/annual-report-2025/pdf/AstraZeneca_Development_Pipeline_2025.pdf</t>
        </is>
      </c>
      <c r="J8" s="73" t="inlineStr">
        <is>
          <t>https://annual-report.bms.com/assets/bms-ar/documents/2025/2025-bms-development-portfolio.pdf</t>
        </is>
      </c>
    </row>
    <row r="9">
      <c r="A9" s="3" t="inlineStr">
        <is>
          <t>Solid-tumor oncology</t>
        </is>
      </c>
      <c r="B9" s="3" t="inlineStr">
        <is>
          <t>Antibody-drug conjugate</t>
        </is>
      </c>
      <c r="C9" s="3" t="inlineStr">
        <is>
          <t>Endometrial cancer</t>
        </is>
      </c>
      <c r="D9" s="74" t="inlineStr">
        <is>
          <t>az-only</t>
        </is>
      </c>
      <c r="E9" s="3" t="n">
        <v>1</v>
      </c>
      <c r="F9" s="3" t="n">
        <v>0</v>
      </c>
      <c r="G9" s="3" t="inlineStr">
        <is>
          <t>puxitatug samrotecan</t>
        </is>
      </c>
      <c r="H9" s="3" t="inlineStr"/>
      <c r="I9" s="73" t="inlineStr">
        <is>
          <t>https://www.astrazeneca.com/content/dam/az/Investor_Relations/annual-report-2025/pdf/AstraZeneca_Development_Pipeline_2025.pdf</t>
        </is>
      </c>
      <c r="J9" s="73" t="inlineStr">
        <is>
          <t>https://annual-report.bms.com/assets/bms-ar/documents/2025/2025-bms-development-portfolio.pdf</t>
        </is>
      </c>
    </row>
    <row r="10">
      <c r="A10" s="3" t="inlineStr">
        <is>
          <t>Solid-tumor oncology</t>
        </is>
      </c>
      <c r="B10" s="3" t="inlineStr">
        <is>
          <t>Antibody-drug conjugate</t>
        </is>
      </c>
      <c r="C10" s="3" t="inlineStr">
        <is>
          <t>Urothelial cancer</t>
        </is>
      </c>
      <c r="D10" s="72" t="inlineStr">
        <is>
          <t>bms-only</t>
        </is>
      </c>
      <c r="E10" s="3" t="n">
        <v>0</v>
      </c>
      <c r="F10" s="3" t="n">
        <v>1</v>
      </c>
      <c r="G10" s="3" t="inlineStr"/>
      <c r="H10" s="3" t="inlineStr">
        <is>
          <t>izalontamab brengitecan (iza-bren)</t>
        </is>
      </c>
      <c r="I10" s="73" t="inlineStr">
        <is>
          <t>https://www.astrazeneca.com/content/dam/az/Investor_Relations/annual-report-2025/pdf/AstraZeneca_Development_Pipeline_2025.pdf</t>
        </is>
      </c>
      <c r="J10" s="73" t="inlineStr">
        <is>
          <t>https://annual-report.bms.com/assets/bms-ar/documents/2025/2025-bms-development-portfolio.pdf</t>
        </is>
      </c>
    </row>
    <row r="11">
      <c r="A11" s="3" t="inlineStr">
        <is>
          <t>Solid-tumor oncology</t>
        </is>
      </c>
      <c r="B11" s="3" t="inlineStr">
        <is>
          <t>Antibody-drug conjugate</t>
        </is>
      </c>
      <c r="C11" s="3" t="inlineStr">
        <is>
          <t>Other solid tumors</t>
        </is>
      </c>
      <c r="D11" s="74" t="inlineStr">
        <is>
          <t>az-only</t>
        </is>
      </c>
      <c r="E11" s="3" t="n">
        <v>4</v>
      </c>
      <c r="F11" s="3" t="n">
        <v>0</v>
      </c>
      <c r="G11" s="3" t="inlineStr">
        <is>
          <t>puxitatug samrotecan; sonesitatug vedotin; tilatamig samrotecan; torvutatug samrotecan (AZD5335)</t>
        </is>
      </c>
      <c r="H11" s="3" t="inlineStr"/>
      <c r="I11" s="73" t="inlineStr">
        <is>
          <t>https://www.astrazeneca.com/content/dam/az/Investor_Relations/annual-report-2025/pdf/AstraZeneca_Development_Pipeline_2025.pdf</t>
        </is>
      </c>
      <c r="J11" s="73" t="inlineStr">
        <is>
          <t>https://annual-report.bms.com/assets/bms-ar/documents/2025/2025-bms-development-portfolio.pdf</t>
        </is>
      </c>
    </row>
    <row r="12">
      <c r="A12" s="3" t="inlineStr">
        <is>
          <t>Solid-tumor oncology</t>
        </is>
      </c>
      <c r="B12" s="3" t="inlineStr">
        <is>
          <t>Bispecific / dual-target antibody</t>
        </is>
      </c>
      <c r="C12" s="3" t="inlineStr">
        <is>
          <t>NSCLC</t>
        </is>
      </c>
      <c r="D12" s="75" t="inlineStr">
        <is>
          <t>overlap</t>
        </is>
      </c>
      <c r="E12" s="3" t="n">
        <v>2</v>
      </c>
      <c r="F12" s="3" t="n">
        <v>1</v>
      </c>
      <c r="G12" s="3" t="inlineStr">
        <is>
          <t>rilvegostomig; volrustomig</t>
        </is>
      </c>
      <c r="H12" s="3" t="inlineStr">
        <is>
          <t>pumitamig</t>
        </is>
      </c>
      <c r="I12" s="73" t="inlineStr">
        <is>
          <t>https://www.astrazeneca.com/content/dam/az/Investor_Relations/annual-report-2025/pdf/AstraZeneca_Development_Pipeline_2025.pdf</t>
        </is>
      </c>
      <c r="J12" s="73" t="inlineStr">
        <is>
          <t>https://annual-report.bms.com/assets/bms-ar/documents/2025/2025-bms-development-portfolio.pdf</t>
        </is>
      </c>
    </row>
    <row r="13">
      <c r="A13" s="3" t="inlineStr">
        <is>
          <t>Solid-tumor oncology</t>
        </is>
      </c>
      <c r="B13" s="3" t="inlineStr">
        <is>
          <t>Bispecific / dual-target antibody</t>
        </is>
      </c>
      <c r="C13" s="3" t="inlineStr">
        <is>
          <t>SCLC</t>
        </is>
      </c>
      <c r="D13" s="72" t="inlineStr">
        <is>
          <t>bms-only</t>
        </is>
      </c>
      <c r="E13" s="3" t="n">
        <v>0</v>
      </c>
      <c r="F13" s="3" t="n">
        <v>1</v>
      </c>
      <c r="G13" s="3" t="inlineStr"/>
      <c r="H13" s="3" t="inlineStr">
        <is>
          <t>pumitamig</t>
        </is>
      </c>
      <c r="I13" s="73" t="inlineStr">
        <is>
          <t>https://www.astrazeneca.com/content/dam/az/Investor_Relations/annual-report-2025/pdf/AstraZeneca_Development_Pipeline_2025.pdf</t>
        </is>
      </c>
      <c r="J13" s="73" t="inlineStr">
        <is>
          <t>https://annual-report.bms.com/assets/bms-ar/documents/2025/2025-bms-development-portfolio.pdf</t>
        </is>
      </c>
    </row>
    <row r="14">
      <c r="A14" s="3" t="inlineStr">
        <is>
          <t>Solid-tumor oncology</t>
        </is>
      </c>
      <c r="B14" s="3" t="inlineStr">
        <is>
          <t>Bispecific / dual-target antibody</t>
        </is>
      </c>
      <c r="C14" s="3" t="inlineStr">
        <is>
          <t>Breast cancer</t>
        </is>
      </c>
      <c r="D14" s="72" t="inlineStr">
        <is>
          <t>bms-only</t>
        </is>
      </c>
      <c r="E14" s="3" t="n">
        <v>0</v>
      </c>
      <c r="F14" s="3" t="n">
        <v>1</v>
      </c>
      <c r="G14" s="3" t="inlineStr"/>
      <c r="H14" s="3" t="inlineStr">
        <is>
          <t>pumitamig</t>
        </is>
      </c>
      <c r="I14" s="73" t="inlineStr">
        <is>
          <t>https://www.astrazeneca.com/content/dam/az/Investor_Relations/annual-report-2025/pdf/AstraZeneca_Development_Pipeline_2025.pdf</t>
        </is>
      </c>
      <c r="J14" s="73" t="inlineStr">
        <is>
          <t>https://annual-report.bms.com/assets/bms-ar/documents/2025/2025-bms-development-portfolio.pdf</t>
        </is>
      </c>
    </row>
    <row r="15">
      <c r="A15" s="3" t="inlineStr">
        <is>
          <t>Solid-tumor oncology</t>
        </is>
      </c>
      <c r="B15" s="3" t="inlineStr">
        <is>
          <t>Bispecific / dual-target antibody</t>
        </is>
      </c>
      <c r="C15" s="3" t="inlineStr">
        <is>
          <t>Gastric / GEJ</t>
        </is>
      </c>
      <c r="D15" s="74" t="inlineStr">
        <is>
          <t>az-only</t>
        </is>
      </c>
      <c r="E15" s="3" t="n">
        <v>1</v>
      </c>
      <c r="F15" s="3" t="n">
        <v>0</v>
      </c>
      <c r="G15" s="3" t="inlineStr">
        <is>
          <t>rilvegostomig</t>
        </is>
      </c>
      <c r="H15" s="3" t="inlineStr"/>
      <c r="I15" s="73" t="inlineStr">
        <is>
          <t>https://www.astrazeneca.com/content/dam/az/Investor_Relations/annual-report-2025/pdf/AstraZeneca_Development_Pipeline_2025.pdf</t>
        </is>
      </c>
      <c r="J15" s="73" t="inlineStr">
        <is>
          <t>https://annual-report.bms.com/assets/bms-ar/documents/2025/2025-bms-development-portfolio.pdf</t>
        </is>
      </c>
    </row>
    <row r="16">
      <c r="A16" s="3" t="inlineStr">
        <is>
          <t>Solid-tumor oncology</t>
        </is>
      </c>
      <c r="B16" s="3" t="inlineStr">
        <is>
          <t>Bispecific / dual-target antibody</t>
        </is>
      </c>
      <c r="C16" s="3" t="inlineStr">
        <is>
          <t>HCC / biliary</t>
        </is>
      </c>
      <c r="D16" s="74" t="inlineStr">
        <is>
          <t>az-only</t>
        </is>
      </c>
      <c r="E16" s="3" t="n">
        <v>1</v>
      </c>
      <c r="F16" s="3" t="n">
        <v>0</v>
      </c>
      <c r="G16" s="3" t="inlineStr">
        <is>
          <t>rilvegostomig</t>
        </is>
      </c>
      <c r="H16" s="3" t="inlineStr"/>
      <c r="I16" s="73" t="inlineStr">
        <is>
          <t>https://www.astrazeneca.com/content/dam/az/Investor_Relations/annual-report-2025/pdf/AstraZeneca_Development_Pipeline_2025.pdf</t>
        </is>
      </c>
      <c r="J16" s="73" t="inlineStr">
        <is>
          <t>https://annual-report.bms.com/assets/bms-ar/documents/2025/2025-bms-development-portfolio.pdf</t>
        </is>
      </c>
    </row>
    <row r="17">
      <c r="A17" s="3" t="inlineStr">
        <is>
          <t>Solid-tumor oncology</t>
        </is>
      </c>
      <c r="B17" s="3" t="inlineStr">
        <is>
          <t>Bispecific / dual-target antibody</t>
        </is>
      </c>
      <c r="C17" s="3" t="inlineStr">
        <is>
          <t>Other solid tumors</t>
        </is>
      </c>
      <c r="D17" s="75" t="inlineStr">
        <is>
          <t>overlap</t>
        </is>
      </c>
      <c r="E17" s="3" t="n">
        <v>2</v>
      </c>
      <c r="F17" s="3" t="n">
        <v>1</v>
      </c>
      <c r="G17" s="3" t="inlineStr">
        <is>
          <t>rilvegostomig; volrustomig</t>
        </is>
      </c>
      <c r="H17" s="3" t="inlineStr">
        <is>
          <t>pumitamig</t>
        </is>
      </c>
      <c r="I17" s="73" t="inlineStr">
        <is>
          <t>https://www.astrazeneca.com/content/dam/az/Investor_Relations/annual-report-2025/pdf/AstraZeneca_Development_Pipeline_2025.pdf</t>
        </is>
      </c>
      <c r="J17" s="73" t="inlineStr">
        <is>
          <t>https://annual-report.bms.com/assets/bms-ar/documents/2025/2025-bms-development-portfolio.pdf</t>
        </is>
      </c>
    </row>
    <row r="18">
      <c r="A18" s="3" t="inlineStr">
        <is>
          <t>Solid-tumor oncology</t>
        </is>
      </c>
      <c r="B18" s="3" t="inlineStr">
        <is>
          <t>Small molecule / targeted degradation</t>
        </is>
      </c>
      <c r="C18" s="3" t="inlineStr">
        <is>
          <t>NSCLC</t>
        </is>
      </c>
      <c r="D18" s="72" t="inlineStr">
        <is>
          <t>bms-only</t>
        </is>
      </c>
      <c r="E18" s="3" t="n">
        <v>0</v>
      </c>
      <c r="F18" s="3" t="n">
        <v>1</v>
      </c>
      <c r="G18" s="3" t="inlineStr"/>
      <c r="H18" s="3" t="inlineStr">
        <is>
          <t>navlimetostat</t>
        </is>
      </c>
      <c r="I18" s="73" t="inlineStr">
        <is>
          <t>https://www.astrazeneca.com/content/dam/az/Investor_Relations/annual-report-2025/pdf/AstraZeneca_Development_Pipeline_2025.pdf</t>
        </is>
      </c>
      <c r="J18" s="73" t="inlineStr">
        <is>
          <t>https://annual-report.bms.com/assets/bms-ar/documents/2025/2025-bms-development-portfolio.pdf</t>
        </is>
      </c>
    </row>
    <row r="19">
      <c r="A19" s="3" t="inlineStr">
        <is>
          <t>Solid-tumor oncology</t>
        </is>
      </c>
      <c r="B19" s="3" t="inlineStr">
        <is>
          <t>Small molecule / targeted degradation</t>
        </is>
      </c>
      <c r="C19" s="3" t="inlineStr">
        <is>
          <t>Breast cancer</t>
        </is>
      </c>
      <c r="D19" s="74" t="inlineStr">
        <is>
          <t>az-only</t>
        </is>
      </c>
      <c r="E19" s="3" t="n">
        <v>2</v>
      </c>
      <c r="F19" s="3" t="n">
        <v>0</v>
      </c>
      <c r="G19" s="3" t="inlineStr">
        <is>
          <t>camizestrant; saruparib</t>
        </is>
      </c>
      <c r="H19" s="3" t="inlineStr"/>
      <c r="I19" s="73" t="inlineStr">
        <is>
          <t>https://www.astrazeneca.com/content/dam/az/Investor_Relations/annual-report-2025/pdf/AstraZeneca_Development_Pipeline_2025.pdf</t>
        </is>
      </c>
      <c r="J19" s="73" t="inlineStr">
        <is>
          <t>https://annual-report.bms.com/assets/bms-ar/documents/2025/2025-bms-development-portfolio.pdf</t>
        </is>
      </c>
    </row>
    <row r="20">
      <c r="A20" s="3" t="inlineStr">
        <is>
          <t>Solid-tumor oncology</t>
        </is>
      </c>
      <c r="B20" s="3" t="inlineStr">
        <is>
          <t>Small molecule / targeted degradation</t>
        </is>
      </c>
      <c r="C20" s="3" t="inlineStr">
        <is>
          <t>Prostate cancer</t>
        </is>
      </c>
      <c r="D20" s="75" t="inlineStr">
        <is>
          <t>overlap</t>
        </is>
      </c>
      <c r="E20" s="3" t="n">
        <v>1</v>
      </c>
      <c r="F20" s="3" t="n">
        <v>1</v>
      </c>
      <c r="G20" s="3" t="inlineStr">
        <is>
          <t>saruparib</t>
        </is>
      </c>
      <c r="H20" s="3" t="inlineStr">
        <is>
          <t>AR ligand-directed degrader</t>
        </is>
      </c>
      <c r="I20" s="73" t="inlineStr">
        <is>
          <t>https://www.astrazeneca.com/content/dam/az/Investor_Relations/annual-report-2025/pdf/AstraZeneca_Development_Pipeline_2025.pdf</t>
        </is>
      </c>
      <c r="J20" s="73" t="inlineStr">
        <is>
          <t>https://annual-report.bms.com/assets/bms-ar/documents/2025/2025-bms-development-portfolio.pdf</t>
        </is>
      </c>
    </row>
    <row r="21">
      <c r="A21" s="3" t="inlineStr">
        <is>
          <t>Solid-tumor oncology</t>
        </is>
      </c>
      <c r="B21" s="3" t="inlineStr">
        <is>
          <t>Small molecule / targeted degradation</t>
        </is>
      </c>
      <c r="C21" s="3" t="inlineStr">
        <is>
          <t>Pancreatic cancer</t>
        </is>
      </c>
      <c r="D21" s="72" t="inlineStr">
        <is>
          <t>bms-only</t>
        </is>
      </c>
      <c r="E21" s="3" t="n">
        <v>0</v>
      </c>
      <c r="F21" s="3" t="n">
        <v>1</v>
      </c>
      <c r="G21" s="3" t="inlineStr"/>
      <c r="H21" s="3" t="inlineStr">
        <is>
          <t>navlimetostat</t>
        </is>
      </c>
      <c r="I21" s="73" t="inlineStr">
        <is>
          <t>https://www.astrazeneca.com/content/dam/az/Investor_Relations/annual-report-2025/pdf/AstraZeneca_Development_Pipeline_2025.pdf</t>
        </is>
      </c>
      <c r="J21" s="73" t="inlineStr">
        <is>
          <t>https://annual-report.bms.com/assets/bms-ar/documents/2025/2025-bms-development-portfolio.pdf</t>
        </is>
      </c>
    </row>
    <row r="22">
      <c r="A22" s="3" t="inlineStr">
        <is>
          <t>Solid-tumor oncology</t>
        </is>
      </c>
      <c r="B22" s="3" t="inlineStr">
        <is>
          <t>Small molecule / targeted degradation</t>
        </is>
      </c>
      <c r="C22" s="3" t="inlineStr">
        <is>
          <t>Other solid tumors</t>
        </is>
      </c>
      <c r="D22" s="75" t="inlineStr">
        <is>
          <t>overlap</t>
        </is>
      </c>
      <c r="E22" s="3" t="n">
        <v>1</v>
      </c>
      <c r="F22" s="3" t="n">
        <v>1</v>
      </c>
      <c r="G22" s="3" t="inlineStr">
        <is>
          <t>AZD9574</t>
        </is>
      </c>
      <c r="H22" s="3" t="inlineStr">
        <is>
          <t>navlimetostat</t>
        </is>
      </c>
      <c r="I22" s="73" t="inlineStr">
        <is>
          <t>https://www.astrazeneca.com/content/dam/az/Investor_Relations/annual-report-2025/pdf/AstraZeneca_Development_Pipeline_2025.pdf</t>
        </is>
      </c>
      <c r="J22" s="73" t="inlineStr">
        <is>
          <t>https://annual-report.bms.com/assets/bms-ar/documents/2025/2025-bms-development-portfolio.pdf</t>
        </is>
      </c>
    </row>
    <row r="23">
      <c r="A23" s="3" t="inlineStr">
        <is>
          <t>Solid-tumor oncology</t>
        </is>
      </c>
      <c r="B23" s="3" t="inlineStr">
        <is>
          <t>mAb / IO combination</t>
        </is>
      </c>
      <c r="C23" s="3" t="inlineStr">
        <is>
          <t>NSCLC</t>
        </is>
      </c>
      <c r="D23" s="75" t="inlineStr">
        <is>
          <t>overlap</t>
        </is>
      </c>
      <c r="E23" s="3" t="n">
        <v>1</v>
      </c>
      <c r="F23" s="3" t="n">
        <v>1</v>
      </c>
      <c r="G23" s="3" t="inlineStr">
        <is>
          <t>IPH5201</t>
        </is>
      </c>
      <c r="H23" s="3" t="inlineStr">
        <is>
          <t>nivolumab + relatlimab HD</t>
        </is>
      </c>
      <c r="I23" s="73" t="inlineStr">
        <is>
          <t>https://www.astrazeneca.com/content/dam/az/Investor_Relations/annual-report-2025/pdf/AstraZeneca_Development_Pipeline_2025.pdf</t>
        </is>
      </c>
      <c r="J23" s="73" t="inlineStr">
        <is>
          <t>https://annual-report.bms.com/assets/bms-ar/documents/2025/2025-bms-development-portfolio.pdf</t>
        </is>
      </c>
    </row>
    <row r="24">
      <c r="A24" s="3" t="inlineStr">
        <is>
          <t>Solid-tumor oncology</t>
        </is>
      </c>
      <c r="B24" s="3" t="inlineStr">
        <is>
          <t>mAb / IO combination</t>
        </is>
      </c>
      <c r="C24" s="3" t="inlineStr">
        <is>
          <t>SCLC</t>
        </is>
      </c>
      <c r="D24" s="72" t="inlineStr">
        <is>
          <t>bms-only</t>
        </is>
      </c>
      <c r="E24" s="3" t="n">
        <v>0</v>
      </c>
      <c r="F24" s="3" t="n">
        <v>1</v>
      </c>
      <c r="G24" s="3" t="inlineStr"/>
      <c r="H24" s="3" t="inlineStr">
        <is>
          <t>atigotatug + nivolumab</t>
        </is>
      </c>
      <c r="I24" s="73" t="inlineStr">
        <is>
          <t>https://www.astrazeneca.com/content/dam/az/Investor_Relations/annual-report-2025/pdf/AstraZeneca_Development_Pipeline_2025.pdf</t>
        </is>
      </c>
      <c r="J24" s="73" t="inlineStr">
        <is>
          <t>https://annual-report.bms.com/assets/bms-ar/documents/2025/2025-bms-development-portfolio.pdf</t>
        </is>
      </c>
    </row>
    <row r="25">
      <c r="A25" s="3" t="inlineStr">
        <is>
          <t>Solid-tumor oncology</t>
        </is>
      </c>
      <c r="B25" s="3" t="inlineStr">
        <is>
          <t>Radiopharmaceutical</t>
        </is>
      </c>
      <c r="C25" s="3" t="inlineStr">
        <is>
          <t>Prostate cancer</t>
        </is>
      </c>
      <c r="D25" s="74" t="inlineStr">
        <is>
          <t>az-only</t>
        </is>
      </c>
      <c r="E25" s="3" t="n">
        <v>1</v>
      </c>
      <c r="F25" s="3" t="n">
        <v>0</v>
      </c>
      <c r="G25" s="3" t="inlineStr">
        <is>
          <t>FPI-2265</t>
        </is>
      </c>
      <c r="H25" s="3" t="inlineStr"/>
      <c r="I25" s="73" t="inlineStr">
        <is>
          <t>https://www.astrazeneca.com/content/dam/az/Investor_Relations/annual-report-2025/pdf/AstraZeneca_Development_Pipeline_2025.pdf</t>
        </is>
      </c>
      <c r="J25" s="73" t="inlineStr">
        <is>
          <t>https://annual-report.bms.com/assets/bms-ar/documents/2025/2025-bms-development-portfolio.pdf</t>
        </is>
      </c>
    </row>
    <row r="26">
      <c r="A26" s="3" t="inlineStr">
        <is>
          <t>Solid-tumor oncology</t>
        </is>
      </c>
      <c r="B26" s="3" t="inlineStr">
        <is>
          <t>Radiopharmaceutical</t>
        </is>
      </c>
      <c r="C26" s="3" t="inlineStr">
        <is>
          <t>GEP-NET</t>
        </is>
      </c>
      <c r="D26" s="72" t="inlineStr">
        <is>
          <t>bms-only</t>
        </is>
      </c>
      <c r="E26" s="3" t="n">
        <v>0</v>
      </c>
      <c r="F26" s="3" t="n">
        <v>1</v>
      </c>
      <c r="G26" s="3" t="inlineStr"/>
      <c r="H26" s="3" t="inlineStr">
        <is>
          <t>RYZ101</t>
        </is>
      </c>
      <c r="I26" s="73" t="inlineStr">
        <is>
          <t>https://www.astrazeneca.com/content/dam/az/Investor_Relations/annual-report-2025/pdf/AstraZeneca_Development_Pipeline_2025.pdf</t>
        </is>
      </c>
      <c r="J26" s="73" t="inlineStr">
        <is>
          <t>https://annual-report.bms.com/assets/bms-ar/documents/2025/2025-bms-development-portfolio.pdf</t>
        </is>
      </c>
    </row>
    <row r="27">
      <c r="A27" s="3" t="inlineStr">
        <is>
          <t>Hematology</t>
        </is>
      </c>
      <c r="B27" s="3" t="inlineStr">
        <is>
          <t>CAR-T</t>
        </is>
      </c>
      <c r="C27" s="3" t="inlineStr">
        <is>
          <t>Multiple myeloma</t>
        </is>
      </c>
      <c r="D27" s="75" t="inlineStr">
        <is>
          <t>overlap</t>
        </is>
      </c>
      <c r="E27" s="3" t="n">
        <v>1</v>
      </c>
      <c r="F27" s="3" t="n">
        <v>1</v>
      </c>
      <c r="G27" s="3" t="inlineStr">
        <is>
          <t>AZD0120</t>
        </is>
      </c>
      <c r="H27" s="3" t="inlineStr">
        <is>
          <t>arlo-cel</t>
        </is>
      </c>
      <c r="I27" s="73" t="inlineStr">
        <is>
          <t>https://www.astrazeneca.com/content/dam/az/Investor_Relations/annual-report-2025/pdf/AstraZeneca_Development_Pipeline_2025.pdf</t>
        </is>
      </c>
      <c r="J27" s="73" t="inlineStr">
        <is>
          <t>https://annual-report.bms.com/assets/bms-ar/documents/2025/2025-bms-development-portfolio.pdf</t>
        </is>
      </c>
    </row>
    <row r="28">
      <c r="A28" s="3" t="inlineStr">
        <is>
          <t>Hematology</t>
        </is>
      </c>
      <c r="B28" s="3" t="inlineStr">
        <is>
          <t>Antibody-drug conjugate</t>
        </is>
      </c>
      <c r="C28" s="3" t="inlineStr">
        <is>
          <t>Multiple myeloma</t>
        </is>
      </c>
      <c r="D28" s="74" t="inlineStr">
        <is>
          <t>az-only</t>
        </is>
      </c>
      <c r="E28" s="3" t="n">
        <v>1</v>
      </c>
      <c r="F28" s="3" t="n">
        <v>0</v>
      </c>
      <c r="G28" s="3" t="inlineStr">
        <is>
          <t>AZD0305</t>
        </is>
      </c>
      <c r="H28" s="3" t="inlineStr"/>
      <c r="I28" s="73" t="inlineStr">
        <is>
          <t>https://www.astrazeneca.com/content/dam/az/Investor_Relations/annual-report-2025/pdf/AstraZeneca_Development_Pipeline_2025.pdf</t>
        </is>
      </c>
      <c r="J28" s="73" t="inlineStr">
        <is>
          <t>https://annual-report.bms.com/assets/bms-ar/documents/2025/2025-bms-development-portfolio.pdf</t>
        </is>
      </c>
    </row>
    <row r="29">
      <c r="A29" s="3" t="inlineStr">
        <is>
          <t>Hematology</t>
        </is>
      </c>
      <c r="B29" s="3" t="inlineStr">
        <is>
          <t>T-cell engager</t>
        </is>
      </c>
      <c r="C29" s="3" t="inlineStr">
        <is>
          <t>B-cell lymphoma</t>
        </is>
      </c>
      <c r="D29" s="74" t="inlineStr">
        <is>
          <t>az-only</t>
        </is>
      </c>
      <c r="E29" s="3" t="n">
        <v>1</v>
      </c>
      <c r="F29" s="3" t="n">
        <v>0</v>
      </c>
      <c r="G29" s="3" t="inlineStr">
        <is>
          <t>surovatamig</t>
        </is>
      </c>
      <c r="H29" s="3" t="inlineStr"/>
      <c r="I29" s="73" t="inlineStr">
        <is>
          <t>https://www.astrazeneca.com/content/dam/az/Investor_Relations/annual-report-2025/pdf/AstraZeneca_Development_Pipeline_2025.pdf</t>
        </is>
      </c>
      <c r="J29" s="73" t="inlineStr">
        <is>
          <t>https://annual-report.bms.com/assets/bms-ar/documents/2025/2025-bms-development-portfolio.pdf</t>
        </is>
      </c>
    </row>
    <row r="30">
      <c r="A30" s="3" t="inlineStr">
        <is>
          <t>Hematology</t>
        </is>
      </c>
      <c r="B30" s="3" t="inlineStr">
        <is>
          <t>T-cell engager</t>
        </is>
      </c>
      <c r="C30" s="3" t="inlineStr">
        <is>
          <t>B-ALL</t>
        </is>
      </c>
      <c r="D30" s="74" t="inlineStr">
        <is>
          <t>az-only</t>
        </is>
      </c>
      <c r="E30" s="3" t="n">
        <v>1</v>
      </c>
      <c r="F30" s="3" t="n">
        <v>0</v>
      </c>
      <c r="G30" s="3" t="inlineStr">
        <is>
          <t>surovatamig</t>
        </is>
      </c>
      <c r="H30" s="3" t="inlineStr"/>
      <c r="I30" s="73" t="inlineStr">
        <is>
          <t>https://www.astrazeneca.com/content/dam/az/Investor_Relations/annual-report-2025/pdf/AstraZeneca_Development_Pipeline_2025.pdf</t>
        </is>
      </c>
      <c r="J30" s="73" t="inlineStr">
        <is>
          <t>https://annual-report.bms.com/assets/bms-ar/documents/2025/2025-bms-development-portfolio.pdf</t>
        </is>
      </c>
    </row>
    <row r="31">
      <c r="A31" s="3" t="inlineStr">
        <is>
          <t>Hematology</t>
        </is>
      </c>
      <c r="B31" s="3" t="inlineStr">
        <is>
          <t>Targeted protein degradation / CELMoD</t>
        </is>
      </c>
      <c r="C31" s="3" t="inlineStr">
        <is>
          <t>Multiple myeloma</t>
        </is>
      </c>
      <c r="D31" s="72" t="inlineStr">
        <is>
          <t>bms-only</t>
        </is>
      </c>
      <c r="E31" s="3" t="n">
        <v>0</v>
      </c>
      <c r="F31" s="3" t="n">
        <v>2</v>
      </c>
      <c r="G31" s="3" t="inlineStr"/>
      <c r="H31" s="3" t="inlineStr">
        <is>
          <t>iberdomide; mezigdomide</t>
        </is>
      </c>
      <c r="I31" s="73" t="inlineStr">
        <is>
          <t>https://www.astrazeneca.com/content/dam/az/Investor_Relations/annual-report-2025/pdf/AstraZeneca_Development_Pipeline_2025.pdf</t>
        </is>
      </c>
      <c r="J31" s="73" t="inlineStr">
        <is>
          <t>https://annual-report.bms.com/assets/bms-ar/documents/2025/2025-bms-development-portfolio.pdf</t>
        </is>
      </c>
    </row>
    <row r="32">
      <c r="A32" s="3" t="inlineStr">
        <is>
          <t>Hematology</t>
        </is>
      </c>
      <c r="B32" s="3" t="inlineStr">
        <is>
          <t>Targeted protein degradation / CELMoD</t>
        </is>
      </c>
      <c r="C32" s="3" t="inlineStr">
        <is>
          <t>B-cell lymphoma</t>
        </is>
      </c>
      <c r="D32" s="72" t="inlineStr">
        <is>
          <t>bms-only</t>
        </is>
      </c>
      <c r="E32" s="3" t="n">
        <v>0</v>
      </c>
      <c r="F32" s="3" t="n">
        <v>1</v>
      </c>
      <c r="G32" s="3" t="inlineStr"/>
      <c r="H32" s="3" t="inlineStr">
        <is>
          <t>golcadomide</t>
        </is>
      </c>
      <c r="I32" s="73" t="inlineStr">
        <is>
          <t>https://www.astrazeneca.com/content/dam/az/Investor_Relations/annual-report-2025/pdf/AstraZeneca_Development_Pipeline_2025.pdf</t>
        </is>
      </c>
      <c r="J32" s="73" t="inlineStr">
        <is>
          <t>https://annual-report.bms.com/assets/bms-ar/documents/2025/2025-bms-development-portfolio.pdf</t>
        </is>
      </c>
    </row>
    <row r="33">
      <c r="A33" s="3" t="inlineStr">
        <is>
          <t>Hematology</t>
        </is>
      </c>
      <c r="B33" s="3" t="inlineStr">
        <is>
          <t>Small molecule</t>
        </is>
      </c>
      <c r="C33" s="3" t="inlineStr">
        <is>
          <t>Hodgkin lymphoma</t>
        </is>
      </c>
      <c r="D33" s="74" t="inlineStr">
        <is>
          <t>az-only</t>
        </is>
      </c>
      <c r="E33" s="3" t="n">
        <v>1</v>
      </c>
      <c r="F33" s="3" t="n">
        <v>0</v>
      </c>
      <c r="G33" s="3" t="inlineStr">
        <is>
          <t>AZD3470</t>
        </is>
      </c>
      <c r="H33" s="3" t="inlineStr"/>
      <c r="I33" s="73" t="inlineStr">
        <is>
          <t>https://www.astrazeneca.com/content/dam/az/Investor_Relations/annual-report-2025/pdf/AstraZeneca_Development_Pipeline_2025.pdf</t>
        </is>
      </c>
      <c r="J33" s="73" t="inlineStr">
        <is>
          <t>https://annual-report.bms.com/assets/bms-ar/documents/2025/2025-bms-development-portfolio.pdf</t>
        </is>
      </c>
    </row>
    <row r="34">
      <c r="A34" s="3" t="inlineStr">
        <is>
          <t>Immunology, respiratory &amp; fibrosis</t>
        </is>
      </c>
      <c r="B34" s="3" t="inlineStr">
        <is>
          <t>Oral / systemic small molecule</t>
        </is>
      </c>
      <c r="C34" s="3" t="inlineStr">
        <is>
          <t>Asthma</t>
        </is>
      </c>
      <c r="D34" s="74" t="inlineStr">
        <is>
          <t>az-only</t>
        </is>
      </c>
      <c r="E34" s="3" t="n">
        <v>1</v>
      </c>
      <c r="F34" s="3" t="n">
        <v>0</v>
      </c>
      <c r="G34" s="3" t="inlineStr">
        <is>
          <t>atuliflapon</t>
        </is>
      </c>
      <c r="H34" s="3" t="inlineStr"/>
      <c r="I34" s="73" t="inlineStr">
        <is>
          <t>https://www.astrazeneca.com/content/dam/az/Investor_Relations/annual-report-2025/pdf/AstraZeneca_Development_Pipeline_2025.pdf</t>
        </is>
      </c>
      <c r="J34" s="73" t="inlineStr">
        <is>
          <t>https://annual-report.bms.com/assets/bms-ar/documents/2025/2025-bms-development-portfolio.pdf</t>
        </is>
      </c>
    </row>
    <row r="35">
      <c r="A35" s="3" t="inlineStr">
        <is>
          <t>Immunology, respiratory &amp; fibrosis</t>
        </is>
      </c>
      <c r="B35" s="3" t="inlineStr">
        <is>
          <t>Oral / systemic small molecule</t>
        </is>
      </c>
      <c r="C35" s="3" t="inlineStr">
        <is>
          <t>COPD</t>
        </is>
      </c>
      <c r="D35" s="74" t="inlineStr">
        <is>
          <t>az-only</t>
        </is>
      </c>
      <c r="E35" s="3" t="n">
        <v>1</v>
      </c>
      <c r="F35" s="3" t="n">
        <v>0</v>
      </c>
      <c r="G35" s="3" t="inlineStr">
        <is>
          <t>AZD6793</t>
        </is>
      </c>
      <c r="H35" s="3" t="inlineStr"/>
      <c r="I35" s="73" t="inlineStr">
        <is>
          <t>https://www.astrazeneca.com/content/dam/az/Investor_Relations/annual-report-2025/pdf/AstraZeneca_Development_Pipeline_2025.pdf</t>
        </is>
      </c>
      <c r="J35" s="73" t="inlineStr">
        <is>
          <t>https://annual-report.bms.com/assets/bms-ar/documents/2025/2025-bms-development-portfolio.pdf</t>
        </is>
      </c>
    </row>
    <row r="36">
      <c r="A36" s="3" t="inlineStr">
        <is>
          <t>Immunology, respiratory &amp; fibrosis</t>
        </is>
      </c>
      <c r="B36" s="3" t="inlineStr">
        <is>
          <t>Oral / systemic small molecule</t>
        </is>
      </c>
      <c r="C36" s="3" t="inlineStr">
        <is>
          <t>Pulmonary fibrosis</t>
        </is>
      </c>
      <c r="D36" s="72" t="inlineStr">
        <is>
          <t>bms-only</t>
        </is>
      </c>
      <c r="E36" s="3" t="n">
        <v>0</v>
      </c>
      <c r="F36" s="3" t="n">
        <v>1</v>
      </c>
      <c r="G36" s="3" t="inlineStr"/>
      <c r="H36" s="3" t="inlineStr">
        <is>
          <t>admilparant</t>
        </is>
      </c>
      <c r="I36" s="73" t="inlineStr">
        <is>
          <t>https://www.astrazeneca.com/content/dam/az/Investor_Relations/annual-report-2025/pdf/AstraZeneca_Development_Pipeline_2025.pdf</t>
        </is>
      </c>
      <c r="J36" s="73" t="inlineStr">
        <is>
          <t>https://annual-report.bms.com/assets/bms-ar/documents/2025/2025-bms-development-portfolio.pdf</t>
        </is>
      </c>
    </row>
    <row r="37">
      <c r="A37" s="3" t="inlineStr">
        <is>
          <t>Immunology, respiratory &amp; fibrosis</t>
        </is>
      </c>
      <c r="B37" s="3" t="inlineStr">
        <is>
          <t>Inhaled small molecule</t>
        </is>
      </c>
      <c r="C37" s="3" t="inlineStr">
        <is>
          <t>Asthma</t>
        </is>
      </c>
      <c r="D37" s="74" t="inlineStr">
        <is>
          <t>az-only</t>
        </is>
      </c>
      <c r="E37" s="3" t="n">
        <v>1</v>
      </c>
      <c r="F37" s="3" t="n">
        <v>0</v>
      </c>
      <c r="G37" s="3" t="inlineStr">
        <is>
          <t>AZD4604</t>
        </is>
      </c>
      <c r="H37" s="3" t="inlineStr"/>
      <c r="I37" s="73" t="inlineStr">
        <is>
          <t>https://www.astrazeneca.com/content/dam/az/Investor_Relations/annual-report-2025/pdf/AstraZeneca_Development_Pipeline_2025.pdf</t>
        </is>
      </c>
      <c r="J37" s="73" t="inlineStr">
        <is>
          <t>https://annual-report.bms.com/assets/bms-ar/documents/2025/2025-bms-development-portfolio.pdf</t>
        </is>
      </c>
    </row>
    <row r="38">
      <c r="A38" s="3" t="inlineStr">
        <is>
          <t>Immunology, respiratory &amp; fibrosis</t>
        </is>
      </c>
      <c r="B38" s="3" t="inlineStr">
        <is>
          <t>Monoclonal / bispecific antibody</t>
        </is>
      </c>
      <c r="C38" s="3" t="inlineStr">
        <is>
          <t>COPD</t>
        </is>
      </c>
      <c r="D38" s="74" t="inlineStr">
        <is>
          <t>az-only</t>
        </is>
      </c>
      <c r="E38" s="3" t="n">
        <v>1</v>
      </c>
      <c r="F38" s="3" t="n">
        <v>0</v>
      </c>
      <c r="G38" s="3" t="inlineStr">
        <is>
          <t>tozorakimab</t>
        </is>
      </c>
      <c r="H38" s="3" t="inlineStr"/>
      <c r="I38" s="73" t="inlineStr">
        <is>
          <t>https://www.astrazeneca.com/content/dam/az/Investor_Relations/annual-report-2025/pdf/AstraZeneca_Development_Pipeline_2025.pdf</t>
        </is>
      </c>
      <c r="J38" s="73" t="inlineStr">
        <is>
          <t>https://annual-report.bms.com/assets/bms-ar/documents/2025/2025-bms-development-portfolio.pdf</t>
        </is>
      </c>
    </row>
    <row r="39">
      <c r="A39" s="3" t="inlineStr">
        <is>
          <t>Immunology, respiratory &amp; fibrosis</t>
        </is>
      </c>
      <c r="B39" s="3" t="inlineStr">
        <is>
          <t>Monoclonal / bispecific antibody</t>
        </is>
      </c>
      <c r="C39" s="3" t="inlineStr">
        <is>
          <t>Rheumatoid arthritis</t>
        </is>
      </c>
      <c r="D39" s="74" t="inlineStr">
        <is>
          <t>az-only</t>
        </is>
      </c>
      <c r="E39" s="3" t="n">
        <v>1</v>
      </c>
      <c r="F39" s="3" t="n">
        <v>0</v>
      </c>
      <c r="G39" s="3" t="inlineStr">
        <is>
          <t>AZD1163</t>
        </is>
      </c>
      <c r="H39" s="3" t="inlineStr"/>
      <c r="I39" s="73" t="inlineStr">
        <is>
          <t>https://www.astrazeneca.com/content/dam/az/Investor_Relations/annual-report-2025/pdf/AstraZeneca_Development_Pipeline_2025.pdf</t>
        </is>
      </c>
      <c r="J39" s="73" t="inlineStr">
        <is>
          <t>https://annual-report.bms.com/assets/bms-ar/documents/2025/2025-bms-development-portfolio.pdf</t>
        </is>
      </c>
    </row>
    <row r="40">
      <c r="A40" s="3" t="inlineStr">
        <is>
          <t>Immunology, respiratory &amp; fibrosis</t>
        </is>
      </c>
      <c r="B40" s="3" t="inlineStr">
        <is>
          <t>Monoclonal / bispecific antibody</t>
        </is>
      </c>
      <c r="C40" s="3" t="inlineStr">
        <is>
          <t>Crohn's disease</t>
        </is>
      </c>
      <c r="D40" s="74" t="inlineStr">
        <is>
          <t>az-only</t>
        </is>
      </c>
      <c r="E40" s="3" t="n">
        <v>1</v>
      </c>
      <c r="F40" s="3" t="n">
        <v>0</v>
      </c>
      <c r="G40" s="3" t="inlineStr">
        <is>
          <t>AZD7798</t>
        </is>
      </c>
      <c r="H40" s="3" t="inlineStr"/>
      <c r="I40" s="73" t="inlineStr">
        <is>
          <t>https://www.astrazeneca.com/content/dam/az/Investor_Relations/annual-report-2025/pdf/AstraZeneca_Development_Pipeline_2025.pdf</t>
        </is>
      </c>
      <c r="J40" s="73" t="inlineStr">
        <is>
          <t>https://annual-report.bms.com/assets/bms-ar/documents/2025/2025-bms-development-portfolio.pdf</t>
        </is>
      </c>
    </row>
    <row r="41">
      <c r="A41" s="3" t="inlineStr">
        <is>
          <t>Immunology, respiratory &amp; fibrosis</t>
        </is>
      </c>
      <c r="B41" s="3" t="inlineStr">
        <is>
          <t>Monoclonal / bispecific antibody</t>
        </is>
      </c>
      <c r="C41" s="3" t="inlineStr">
        <is>
          <t>IgG4-related disease</t>
        </is>
      </c>
      <c r="D41" s="72" t="inlineStr">
        <is>
          <t>bms-only</t>
        </is>
      </c>
      <c r="E41" s="3" t="n">
        <v>0</v>
      </c>
      <c r="F41" s="3" t="n">
        <v>1</v>
      </c>
      <c r="G41" s="3" t="inlineStr"/>
      <c r="H41" s="3" t="inlineStr">
        <is>
          <t>obexelimab</t>
        </is>
      </c>
      <c r="I41" s="73" t="inlineStr">
        <is>
          <t>https://www.astrazeneca.com/content/dam/az/Investor_Relations/annual-report-2025/pdf/AstraZeneca_Development_Pipeline_2025.pdf</t>
        </is>
      </c>
      <c r="J41" s="73" t="inlineStr">
        <is>
          <t>https://annual-report.bms.com/assets/bms-ar/documents/2025/2025-bms-development-portfolio.pdf</t>
        </is>
      </c>
    </row>
    <row r="42">
      <c r="A42" s="3" t="inlineStr">
        <is>
          <t>Immunology, respiratory &amp; fibrosis</t>
        </is>
      </c>
      <c r="B42" s="3" t="inlineStr">
        <is>
          <t>Monoclonal / bispecific antibody</t>
        </is>
      </c>
      <c r="C42" s="3" t="inlineStr">
        <is>
          <t>Severe viral LRTD</t>
        </is>
      </c>
      <c r="D42" s="74" t="inlineStr">
        <is>
          <t>az-only</t>
        </is>
      </c>
      <c r="E42" s="3" t="n">
        <v>1</v>
      </c>
      <c r="F42" s="3" t="n">
        <v>0</v>
      </c>
      <c r="G42" s="3" t="inlineStr">
        <is>
          <t>tozorakimab</t>
        </is>
      </c>
      <c r="H42" s="3" t="inlineStr"/>
      <c r="I42" s="73" t="inlineStr">
        <is>
          <t>https://www.astrazeneca.com/content/dam/az/Investor_Relations/annual-report-2025/pdf/AstraZeneca_Development_Pipeline_2025.pdf</t>
        </is>
      </c>
      <c r="J42" s="73" t="inlineStr">
        <is>
          <t>https://annual-report.bms.com/assets/bms-ar/documents/2025/2025-bms-development-portfolio.pdf</t>
        </is>
      </c>
    </row>
    <row r="43">
      <c r="A43" s="3" t="inlineStr">
        <is>
          <t>Immunology, respiratory &amp; fibrosis</t>
        </is>
      </c>
      <c r="B43" s="3" t="inlineStr">
        <is>
          <t>Inhaled biologic</t>
        </is>
      </c>
      <c r="C43" s="3" t="inlineStr">
        <is>
          <t>Asthma</t>
        </is>
      </c>
      <c r="D43" s="74" t="inlineStr">
        <is>
          <t>az-only</t>
        </is>
      </c>
      <c r="E43" s="3" t="n">
        <v>1</v>
      </c>
      <c r="F43" s="3" t="n">
        <v>0</v>
      </c>
      <c r="G43" s="3" t="inlineStr">
        <is>
          <t>AZD8630</t>
        </is>
      </c>
      <c r="H43" s="3" t="inlineStr"/>
      <c r="I43" s="73" t="inlineStr">
        <is>
          <t>https://www.astrazeneca.com/content/dam/az/Investor_Relations/annual-report-2025/pdf/AstraZeneca_Development_Pipeline_2025.pdf</t>
        </is>
      </c>
      <c r="J43" s="73" t="inlineStr">
        <is>
          <t>https://annual-report.bms.com/assets/bms-ar/documents/2025/2025-bms-development-portfolio.pdf</t>
        </is>
      </c>
    </row>
    <row r="44">
      <c r="A44" s="3" t="inlineStr">
        <is>
          <t>Immunology, respiratory &amp; fibrosis</t>
        </is>
      </c>
      <c r="B44" s="3" t="inlineStr">
        <is>
          <t>CAR-T</t>
        </is>
      </c>
      <c r="C44" s="3" t="inlineStr">
        <is>
          <t>SLE / systemic sclerosis</t>
        </is>
      </c>
      <c r="D44" s="72" t="inlineStr">
        <is>
          <t>bms-only</t>
        </is>
      </c>
      <c r="E44" s="3" t="n">
        <v>0</v>
      </c>
      <c r="F44" s="3" t="n">
        <v>1</v>
      </c>
      <c r="G44" s="3" t="inlineStr"/>
      <c r="H44" s="3" t="inlineStr">
        <is>
          <t>zola-cel (CD19 NEX-T)</t>
        </is>
      </c>
      <c r="I44" s="73" t="inlineStr">
        <is>
          <t>https://www.astrazeneca.com/content/dam/az/Investor_Relations/annual-report-2025/pdf/AstraZeneca_Development_Pipeline_2025.pdf</t>
        </is>
      </c>
      <c r="J44" s="73" t="inlineStr">
        <is>
          <t>https://annual-report.bms.com/assets/bms-ar/documents/2025/2025-bms-development-portfolio.pdf</t>
        </is>
      </c>
    </row>
    <row r="45">
      <c r="A45" s="3" t="inlineStr">
        <is>
          <t>Cardiovascular</t>
        </is>
      </c>
      <c r="B45" s="3" t="inlineStr">
        <is>
          <t>Small molecule / oral therapy</t>
        </is>
      </c>
      <c r="C45" s="3" t="inlineStr">
        <is>
          <t>Heart failure</t>
        </is>
      </c>
      <c r="D45" s="75" t="inlineStr">
        <is>
          <t>overlap</t>
        </is>
      </c>
      <c r="E45" s="3" t="n">
        <v>1</v>
      </c>
      <c r="F45" s="3" t="n">
        <v>1</v>
      </c>
      <c r="G45" s="3" t="inlineStr">
        <is>
          <t>AZD5462</t>
        </is>
      </c>
      <c r="H45" s="3" t="inlineStr">
        <is>
          <t>MYK-224</t>
        </is>
      </c>
      <c r="I45" s="73" t="inlineStr">
        <is>
          <t>https://www.astrazeneca.com/content/dam/az/Investor_Relations/annual-report-2025/pdf/AstraZeneca_Development_Pipeline_2025.pdf</t>
        </is>
      </c>
      <c r="J45" s="73" t="inlineStr">
        <is>
          <t>https://annual-report.bms.com/assets/bms-ar/documents/2025/2025-bms-development-portfolio.pdf</t>
        </is>
      </c>
    </row>
    <row r="46">
      <c r="A46" s="3" t="inlineStr">
        <is>
          <t>Cardiovascular</t>
        </is>
      </c>
      <c r="B46" s="3" t="inlineStr">
        <is>
          <t>Small molecule / oral therapy</t>
        </is>
      </c>
      <c r="C46" s="3" t="inlineStr">
        <is>
          <t>Hypertension / aldosteronism</t>
        </is>
      </c>
      <c r="D46" s="74" t="inlineStr">
        <is>
          <t>az-only</t>
        </is>
      </c>
      <c r="E46" s="3" t="n">
        <v>1</v>
      </c>
      <c r="F46" s="3" t="n">
        <v>0</v>
      </c>
      <c r="G46" s="3" t="inlineStr">
        <is>
          <t>baxdrostat</t>
        </is>
      </c>
      <c r="H46" s="3" t="inlineStr"/>
      <c r="I46" s="73" t="inlineStr">
        <is>
          <t>https://www.astrazeneca.com/content/dam/az/Investor_Relations/annual-report-2025/pdf/AstraZeneca_Development_Pipeline_2025.pdf</t>
        </is>
      </c>
      <c r="J46" s="73" t="inlineStr">
        <is>
          <t>https://annual-report.bms.com/assets/bms-ar/documents/2025/2025-bms-development-portfolio.pdf</t>
        </is>
      </c>
    </row>
    <row r="47">
      <c r="A47" s="3" t="inlineStr">
        <is>
          <t>Cardiovascular</t>
        </is>
      </c>
      <c r="B47" s="3" t="inlineStr">
        <is>
          <t>Small molecule / oral therapy</t>
        </is>
      </c>
      <c r="C47" s="3" t="inlineStr">
        <is>
          <t>AF / stroke prevention</t>
        </is>
      </c>
      <c r="D47" s="72" t="inlineStr">
        <is>
          <t>bms-only</t>
        </is>
      </c>
      <c r="E47" s="3" t="n">
        <v>0</v>
      </c>
      <c r="F47" s="3" t="n">
        <v>1</v>
      </c>
      <c r="G47" s="3" t="inlineStr"/>
      <c r="H47" s="3" t="inlineStr">
        <is>
          <t>milvexian</t>
        </is>
      </c>
      <c r="I47" s="73" t="inlineStr">
        <is>
          <t>https://www.astrazeneca.com/content/dam/az/Investor_Relations/annual-report-2025/pdf/AstraZeneca_Development_Pipeline_2025.pdf</t>
        </is>
      </c>
      <c r="J47" s="73" t="inlineStr">
        <is>
          <t>https://annual-report.bms.com/assets/bms-ar/documents/2025/2025-bms-development-portfolio.pdf</t>
        </is>
      </c>
    </row>
    <row r="48">
      <c r="A48" s="3" t="inlineStr">
        <is>
          <t>Cardiovascular</t>
        </is>
      </c>
      <c r="B48" s="3" t="inlineStr">
        <is>
          <t>Other targeted therapy</t>
        </is>
      </c>
      <c r="C48" s="3" t="inlineStr">
        <is>
          <t>Dyslipidemia</t>
        </is>
      </c>
      <c r="D48" s="74" t="inlineStr">
        <is>
          <t>az-only</t>
        </is>
      </c>
      <c r="E48" s="3" t="n">
        <v>1</v>
      </c>
      <c r="F48" s="3" t="n">
        <v>0</v>
      </c>
      <c r="G48" s="3" t="inlineStr">
        <is>
          <t>laroprovstat</t>
        </is>
      </c>
      <c r="H48" s="3" t="inlineStr"/>
      <c r="I48" s="73" t="inlineStr">
        <is>
          <t>https://www.astrazeneca.com/content/dam/az/Investor_Relations/annual-report-2025/pdf/AstraZeneca_Development_Pipeline_2025.pdf</t>
        </is>
      </c>
      <c r="J48" s="73" t="inlineStr">
        <is>
          <t>https://annual-report.bms.com/assets/bms-ar/documents/2025/2025-bms-development-portfolio.pdf</t>
        </is>
      </c>
    </row>
    <row r="49">
      <c r="A49" s="3" t="inlineStr">
        <is>
          <t>Rare disease</t>
        </is>
      </c>
      <c r="B49" s="3" t="inlineStr">
        <is>
          <t>Protein / fusion therapeutic</t>
        </is>
      </c>
      <c r="C49" s="3" t="inlineStr">
        <is>
          <t>Primary membranous nephropathy</t>
        </is>
      </c>
      <c r="D49" s="74" t="inlineStr">
        <is>
          <t>az-only</t>
        </is>
      </c>
      <c r="E49" s="3" t="n">
        <v>1</v>
      </c>
      <c r="F49" s="3" t="n">
        <v>0</v>
      </c>
      <c r="G49" s="3" t="inlineStr">
        <is>
          <t>ALXN1920</t>
        </is>
      </c>
      <c r="H49" s="3" t="inlineStr"/>
      <c r="I49" s="73" t="inlineStr">
        <is>
          <t>https://www.astrazeneca.com/content/dam/az/Investor_Relations/annual-report-2025/pdf/AstraZeneca_Development_Pipeline_2025.pdf</t>
        </is>
      </c>
      <c r="J49" s="73" t="inlineStr">
        <is>
          <t>https://annual-report.bms.com/assets/bms-ar/documents/2025/2025-bms-development-portfolio.pdf</t>
        </is>
      </c>
    </row>
    <row r="50">
      <c r="A50" s="3" t="inlineStr">
        <is>
          <t>Rare disease</t>
        </is>
      </c>
      <c r="B50" s="3" t="inlineStr">
        <is>
          <t>RNA / siRNA</t>
        </is>
      </c>
      <c r="C50" s="3" t="inlineStr">
        <is>
          <t>Antibody-mediated rejection</t>
        </is>
      </c>
      <c r="D50" s="74" t="inlineStr">
        <is>
          <t>az-only</t>
        </is>
      </c>
      <c r="E50" s="3" t="n">
        <v>1</v>
      </c>
      <c r="F50" s="3" t="n">
        <v>0</v>
      </c>
      <c r="G50" s="3" t="inlineStr">
        <is>
          <t>ALXN2030</t>
        </is>
      </c>
      <c r="H50" s="3" t="inlineStr"/>
      <c r="I50" s="73" t="inlineStr">
        <is>
          <t>https://www.astrazeneca.com/content/dam/az/Investor_Relations/annual-report-2025/pdf/AstraZeneca_Development_Pipeline_2025.pdf</t>
        </is>
      </c>
      <c r="J50" s="73" t="inlineStr">
        <is>
          <t>https://annual-report.bms.com/assets/bms-ar/documents/2025/2025-bms-development-portfolio.pdf</t>
        </is>
      </c>
    </row>
    <row r="51">
      <c r="A51" s="3" t="inlineStr">
        <is>
          <t>Rare disease</t>
        </is>
      </c>
      <c r="B51" s="3" t="inlineStr">
        <is>
          <t>Small molecule / kinase inhibitor</t>
        </is>
      </c>
      <c r="C51" s="3" t="inlineStr">
        <is>
          <t>ANCA vasculitis</t>
        </is>
      </c>
      <c r="D51" s="74" t="inlineStr">
        <is>
          <t>az-only</t>
        </is>
      </c>
      <c r="E51" s="3" t="n">
        <v>1</v>
      </c>
      <c r="F51" s="3" t="n">
        <v>0</v>
      </c>
      <c r="G51" s="3" t="inlineStr">
        <is>
          <t>tarperprumig</t>
        </is>
      </c>
      <c r="H51" s="3" t="inlineStr"/>
      <c r="I51" s="73" t="inlineStr">
        <is>
          <t>https://www.astrazeneca.com/content/dam/az/Investor_Relations/annual-report-2025/pdf/AstraZeneca_Development_Pipeline_2025.pdf</t>
        </is>
      </c>
      <c r="J51" s="73" t="inlineStr">
        <is>
          <t>https://annual-report.bms.com/assets/bms-ar/documents/2025/2025-bms-development-portfolio.pdf</t>
        </is>
      </c>
    </row>
    <row r="52">
      <c r="A52" s="3" t="inlineStr">
        <is>
          <t>Rare disease</t>
        </is>
      </c>
      <c r="B52" s="3" t="inlineStr">
        <is>
          <t>mAb / nanobody</t>
        </is>
      </c>
      <c r="C52" s="3" t="inlineStr">
        <is>
          <t>AL amyloidosis</t>
        </is>
      </c>
      <c r="D52" s="74" t="inlineStr">
        <is>
          <t>az-only</t>
        </is>
      </c>
      <c r="E52" s="3" t="n">
        <v>1</v>
      </c>
      <c r="F52" s="3" t="n">
        <v>0</v>
      </c>
      <c r="G52" s="3" t="inlineStr">
        <is>
          <t>anselamimab</t>
        </is>
      </c>
      <c r="H52" s="3" t="inlineStr"/>
      <c r="I52" s="73" t="inlineStr">
        <is>
          <t>https://www.astrazeneca.com/content/dam/az/Investor_Relations/annual-report-2025/pdf/AstraZeneca_Development_Pipeline_2025.pdf</t>
        </is>
      </c>
      <c r="J52" s="73" t="inlineStr">
        <is>
          <t>https://annual-report.bms.com/assets/bms-ar/documents/2025/2025-bms-development-portfolio.pdf</t>
        </is>
      </c>
    </row>
    <row r="53">
      <c r="A53" s="3" t="inlineStr">
        <is>
          <t>Rare disease</t>
        </is>
      </c>
      <c r="B53" s="3" t="inlineStr">
        <is>
          <t>mAb / nanobody</t>
        </is>
      </c>
      <c r="C53" s="3" t="inlineStr">
        <is>
          <t>ATTR-CM</t>
        </is>
      </c>
      <c r="D53" s="74" t="inlineStr">
        <is>
          <t>az-only</t>
        </is>
      </c>
      <c r="E53" s="3" t="n">
        <v>1</v>
      </c>
      <c r="F53" s="3" t="n">
        <v>0</v>
      </c>
      <c r="G53" s="3" t="inlineStr">
        <is>
          <t>cliramitug</t>
        </is>
      </c>
      <c r="H53" s="3" t="inlineStr"/>
      <c r="I53" s="73" t="inlineStr">
        <is>
          <t>https://www.astrazeneca.com/content/dam/az/Investor_Relations/annual-report-2025/pdf/AstraZeneca_Development_Pipeline_2025.pdf</t>
        </is>
      </c>
      <c r="J53" s="73" t="inlineStr">
        <is>
          <t>https://annual-report.bms.com/assets/bms-ar/documents/2025/2025-bms-development-portfolio.pdf</t>
        </is>
      </c>
    </row>
    <row r="54">
      <c r="A54" s="3" t="inlineStr">
        <is>
          <t>Rare disease</t>
        </is>
      </c>
      <c r="B54" s="3" t="inlineStr">
        <is>
          <t>mAb / nanobody</t>
        </is>
      </c>
      <c r="C54" s="3" t="inlineStr">
        <is>
          <t>gMG</t>
        </is>
      </c>
      <c r="D54" s="74" t="inlineStr">
        <is>
          <t>az-only</t>
        </is>
      </c>
      <c r="E54" s="3" t="n">
        <v>1</v>
      </c>
      <c r="F54" s="3" t="n">
        <v>0</v>
      </c>
      <c r="G54" s="3" t="inlineStr">
        <is>
          <t>gefurulimab</t>
        </is>
      </c>
      <c r="H54" s="3" t="inlineStr"/>
      <c r="I54" s="73" t="inlineStr">
        <is>
          <t>https://www.astrazeneca.com/content/dam/az/Investor_Relations/annual-report-2025/pdf/AstraZeneca_Development_Pipeline_2025.pdf</t>
        </is>
      </c>
      <c r="J54" s="73" t="inlineStr">
        <is>
          <t>https://annual-report.bms.com/assets/bms-ar/documents/2025/2025-bms-development-portfolio.pdf</t>
        </is>
      </c>
    </row>
    <row r="55">
      <c r="A55" s="3" t="inlineStr">
        <is>
          <t>Rare disease</t>
        </is>
      </c>
      <c r="B55" s="3" t="inlineStr">
        <is>
          <t>Enzyme replacement</t>
        </is>
      </c>
      <c r="C55" s="3" t="inlineStr">
        <is>
          <t>Hypophosphatasia</t>
        </is>
      </c>
      <c r="D55" s="74" t="inlineStr">
        <is>
          <t>az-only</t>
        </is>
      </c>
      <c r="E55" s="3" t="n">
        <v>1</v>
      </c>
      <c r="F55" s="3" t="n">
        <v>0</v>
      </c>
      <c r="G55" s="3" t="inlineStr">
        <is>
          <t>efzimfotase alfa</t>
        </is>
      </c>
      <c r="H55" s="3" t="inlineStr"/>
      <c r="I55" s="73" t="inlineStr">
        <is>
          <t>https://www.astrazeneca.com/content/dam/az/Investor_Relations/annual-report-2025/pdf/AstraZeneca_Development_Pipeline_2025.pdf</t>
        </is>
      </c>
      <c r="J55" s="73" t="inlineStr">
        <is>
          <t>https://annual-report.bms.com/assets/bms-ar/documents/2025/2025-bms-development-portfolio.pdf</t>
        </is>
      </c>
    </row>
    <row r="56">
      <c r="A56" s="3" t="inlineStr">
        <is>
          <t>Rare disease</t>
        </is>
      </c>
      <c r="B56" s="3" t="inlineStr">
        <is>
          <t>Peptide / receptor agonist-antagonist</t>
        </is>
      </c>
      <c r="C56" s="3" t="inlineStr">
        <is>
          <t>Acromegaly</t>
        </is>
      </c>
      <c r="D56" s="74" t="inlineStr">
        <is>
          <t>az-only</t>
        </is>
      </c>
      <c r="E56" s="3" t="n">
        <v>1</v>
      </c>
      <c r="F56" s="3" t="n">
        <v>0</v>
      </c>
      <c r="G56" s="3" t="inlineStr">
        <is>
          <t>ALXN2420</t>
        </is>
      </c>
      <c r="H56" s="3" t="inlineStr"/>
      <c r="I56" s="73" t="inlineStr">
        <is>
          <t>https://www.astrazeneca.com/content/dam/az/Investor_Relations/annual-report-2025/pdf/AstraZeneca_Development_Pipeline_2025.pdf</t>
        </is>
      </c>
      <c r="J56" s="73" t="inlineStr">
        <is>
          <t>https://annual-report.bms.com/assets/bms-ar/documents/2025/2025-bms-development-portfolio.pdf</t>
        </is>
      </c>
    </row>
    <row r="57">
      <c r="A57" s="3" t="inlineStr">
        <is>
          <t>Rare disease</t>
        </is>
      </c>
      <c r="B57" s="3" t="inlineStr">
        <is>
          <t>Peptide / receptor agonist-antagonist</t>
        </is>
      </c>
      <c r="C57" s="3" t="inlineStr">
        <is>
          <t>Hypoparathyroidism</t>
        </is>
      </c>
      <c r="D57" s="74" t="inlineStr">
        <is>
          <t>az-only</t>
        </is>
      </c>
      <c r="E57" s="3" t="n">
        <v>1</v>
      </c>
      <c r="F57" s="3" t="n">
        <v>0</v>
      </c>
      <c r="G57" s="3" t="inlineStr">
        <is>
          <t>eneboparatide</t>
        </is>
      </c>
      <c r="H57" s="3" t="inlineStr"/>
      <c r="I57" s="73" t="inlineStr">
        <is>
          <t>https://www.astrazeneca.com/content/dam/az/Investor_Relations/annual-report-2025/pdf/AstraZeneca_Development_Pipeline_2025.pdf</t>
        </is>
      </c>
      <c r="J57" s="73" t="inlineStr">
        <is>
          <t>https://annual-report.bms.com/assets/bms-ar/documents/2025/2025-bms-development-portfolio.pdf</t>
        </is>
      </c>
    </row>
    <row r="58">
      <c r="A58" s="3" t="inlineStr">
        <is>
          <t>Renal &amp; metabolic</t>
        </is>
      </c>
      <c r="B58" s="3" t="inlineStr">
        <is>
          <t>Peptide / incretin</t>
        </is>
      </c>
      <c r="C58" s="3" t="inlineStr">
        <is>
          <t>Obesity / weight management</t>
        </is>
      </c>
      <c r="D58" s="74" t="inlineStr">
        <is>
          <t>az-only</t>
        </is>
      </c>
      <c r="E58" s="3" t="n">
        <v>1</v>
      </c>
      <c r="F58" s="3" t="n">
        <v>0</v>
      </c>
      <c r="G58" s="3" t="inlineStr">
        <is>
          <t>AZD6234</t>
        </is>
      </c>
      <c r="H58" s="3" t="inlineStr"/>
      <c r="I58" s="73" t="inlineStr">
        <is>
          <t>https://www.astrazeneca.com/content/dam/az/Investor_Relations/annual-report-2025/pdf/AstraZeneca_Development_Pipeline_2025.pdf</t>
        </is>
      </c>
      <c r="J58" s="73" t="inlineStr">
        <is>
          <t>https://annual-report.bms.com/assets/bms-ar/documents/2025/2025-bms-development-portfolio.pdf</t>
        </is>
      </c>
    </row>
    <row r="59">
      <c r="A59" s="3" t="inlineStr">
        <is>
          <t>Renal &amp; metabolic</t>
        </is>
      </c>
      <c r="B59" s="3" t="inlineStr">
        <is>
          <t>Oral small molecule</t>
        </is>
      </c>
      <c r="C59" s="3" t="inlineStr">
        <is>
          <t>Obesity / weight management</t>
        </is>
      </c>
      <c r="D59" s="74" t="inlineStr">
        <is>
          <t>az-only</t>
        </is>
      </c>
      <c r="E59" s="3" t="n">
        <v>1</v>
      </c>
      <c r="F59" s="3" t="n">
        <v>0</v>
      </c>
      <c r="G59" s="3" t="inlineStr">
        <is>
          <t>elecoglipron (AZD5004)</t>
        </is>
      </c>
      <c r="H59" s="3" t="inlineStr"/>
      <c r="I59" s="73" t="inlineStr">
        <is>
          <t>https://www.astrazeneca.com/content/dam/az/Investor_Relations/annual-report-2025/pdf/AstraZeneca_Development_Pipeline_2025.pdf</t>
        </is>
      </c>
      <c r="J59" s="73" t="inlineStr">
        <is>
          <t>https://annual-report.bms.com/assets/bms-ar/documents/2025/2025-bms-development-portfolio.pdf</t>
        </is>
      </c>
    </row>
    <row r="60">
      <c r="A60" s="3" t="inlineStr">
        <is>
          <t>Renal &amp; metabolic</t>
        </is>
      </c>
      <c r="B60" s="3" t="inlineStr">
        <is>
          <t>Oral small molecule</t>
        </is>
      </c>
      <c r="C60" s="3" t="inlineStr">
        <is>
          <t>Type 2 diabetes</t>
        </is>
      </c>
      <c r="D60" s="74" t="inlineStr">
        <is>
          <t>az-only</t>
        </is>
      </c>
      <c r="E60" s="3" t="n">
        <v>1</v>
      </c>
      <c r="F60" s="3" t="n">
        <v>0</v>
      </c>
      <c r="G60" s="3" t="inlineStr">
        <is>
          <t>elecoglipron (AZD5004)</t>
        </is>
      </c>
      <c r="H60" s="3" t="inlineStr"/>
      <c r="I60" s="73" t="inlineStr">
        <is>
          <t>https://www.astrazeneca.com/content/dam/az/Investor_Relations/annual-report-2025/pdf/AstraZeneca_Development_Pipeline_2025.pdf</t>
        </is>
      </c>
      <c r="J60" s="73" t="inlineStr">
        <is>
          <t>https://annual-report.bms.com/assets/bms-ar/documents/2025/2025-bms-development-portfolio.pdf</t>
        </is>
      </c>
    </row>
    <row r="61">
      <c r="A61" s="3" t="inlineStr">
        <is>
          <t>Renal &amp; metabolic</t>
        </is>
      </c>
      <c r="B61" s="3" t="inlineStr">
        <is>
          <t>Combination therapy</t>
        </is>
      </c>
      <c r="C61" s="3" t="inlineStr">
        <is>
          <t>Obesity / weight management</t>
        </is>
      </c>
      <c r="D61" s="74" t="inlineStr">
        <is>
          <t>az-only</t>
        </is>
      </c>
      <c r="E61" s="3" t="n">
        <v>1</v>
      </c>
      <c r="F61" s="3" t="n">
        <v>0</v>
      </c>
      <c r="G61" s="3" t="inlineStr">
        <is>
          <t>AZD9550 + AZD6234</t>
        </is>
      </c>
      <c r="H61" s="3" t="inlineStr"/>
      <c r="I61" s="73" t="inlineStr">
        <is>
          <t>https://www.astrazeneca.com/content/dam/az/Investor_Relations/annual-report-2025/pdf/AstraZeneca_Development_Pipeline_2025.pdf</t>
        </is>
      </c>
      <c r="J61" s="73" t="inlineStr">
        <is>
          <t>https://annual-report.bms.com/assets/bms-ar/documents/2025/2025-bms-development-portfolio.pdf</t>
        </is>
      </c>
    </row>
    <row r="62">
      <c r="A62" s="3" t="inlineStr">
        <is>
          <t>Renal &amp; metabolic</t>
        </is>
      </c>
      <c r="B62" s="3" t="inlineStr">
        <is>
          <t>Combination therapy</t>
        </is>
      </c>
      <c r="C62" s="3" t="inlineStr">
        <is>
          <t>CKD / proteinuria</t>
        </is>
      </c>
      <c r="D62" s="74" t="inlineStr">
        <is>
          <t>az-only</t>
        </is>
      </c>
      <c r="E62" s="3" t="n">
        <v>2</v>
      </c>
      <c r="F62" s="3" t="n">
        <v>0</v>
      </c>
      <c r="G62" s="3" t="inlineStr">
        <is>
          <t>balcinrenone / dapagliflozin; zibotentan / dapagliflozin</t>
        </is>
      </c>
      <c r="H62" s="3" t="inlineStr"/>
      <c r="I62" s="73" t="inlineStr">
        <is>
          <t>https://www.astrazeneca.com/content/dam/az/Investor_Relations/annual-report-2025/pdf/AstraZeneca_Development_Pipeline_2025.pdf</t>
        </is>
      </c>
      <c r="J62" s="73" t="inlineStr">
        <is>
          <t>https://annual-report.bms.com/assets/bms-ar/documents/2025/2025-bms-development-portfolio.pdf</t>
        </is>
      </c>
    </row>
    <row r="63">
      <c r="A63" s="3" t="inlineStr">
        <is>
          <t>Renal &amp; metabolic</t>
        </is>
      </c>
      <c r="B63" s="3" t="inlineStr">
        <is>
          <t>Combination therapy</t>
        </is>
      </c>
      <c r="C63" s="3" t="inlineStr">
        <is>
          <t>HF with CKD</t>
        </is>
      </c>
      <c r="D63" s="74" t="inlineStr">
        <is>
          <t>az-only</t>
        </is>
      </c>
      <c r="E63" s="3" t="n">
        <v>1</v>
      </c>
      <c r="F63" s="3" t="n">
        <v>0</v>
      </c>
      <c r="G63" s="3" t="inlineStr">
        <is>
          <t>balcinrenone / dapagliflozin</t>
        </is>
      </c>
      <c r="H63" s="3" t="inlineStr"/>
      <c r="I63" s="73" t="inlineStr">
        <is>
          <t>https://www.astrazeneca.com/content/dam/az/Investor_Relations/annual-report-2025/pdf/AstraZeneca_Development_Pipeline_2025.pdf</t>
        </is>
      </c>
      <c r="J63" s="73" t="inlineStr">
        <is>
          <t>https://annual-report.bms.com/assets/bms-ar/documents/2025/2025-bms-development-portfolio.pdf</t>
        </is>
      </c>
    </row>
    <row r="64">
      <c r="A64" s="3" t="inlineStr">
        <is>
          <t>Renal &amp; metabolic</t>
        </is>
      </c>
      <c r="B64" s="3" t="inlineStr">
        <is>
          <t>Other targeted / RNA</t>
        </is>
      </c>
      <c r="C64" s="3" t="inlineStr">
        <is>
          <t>MASH</t>
        </is>
      </c>
      <c r="D64" s="74" t="inlineStr">
        <is>
          <t>az-only</t>
        </is>
      </c>
      <c r="E64" s="3" t="n">
        <v>1</v>
      </c>
      <c r="F64" s="3" t="n">
        <v>0</v>
      </c>
      <c r="G64" s="3" t="inlineStr">
        <is>
          <t>AZD2389</t>
        </is>
      </c>
      <c r="H64" s="3" t="inlineStr"/>
      <c r="I64" s="73" t="inlineStr">
        <is>
          <t>https://www.astrazeneca.com/content/dam/az/Investor_Relations/annual-report-2025/pdf/AstraZeneca_Development_Pipeline_2025.pdf</t>
        </is>
      </c>
      <c r="J64" s="73" t="inlineStr">
        <is>
          <t>https://annual-report.bms.com/assets/bms-ar/documents/2025/2025-bms-development-portfolio.pdf</t>
        </is>
      </c>
    </row>
    <row r="65">
      <c r="A65" s="3" t="inlineStr">
        <is>
          <t>Renal &amp; metabolic</t>
        </is>
      </c>
      <c r="B65" s="3" t="inlineStr">
        <is>
          <t>Other targeted / RNA</t>
        </is>
      </c>
      <c r="C65" s="3" t="inlineStr">
        <is>
          <t>Nephropathy</t>
        </is>
      </c>
      <c r="D65" s="74" t="inlineStr">
        <is>
          <t>az-only</t>
        </is>
      </c>
      <c r="E65" s="3" t="n">
        <v>1</v>
      </c>
      <c r="F65" s="3" t="n">
        <v>0</v>
      </c>
      <c r="G65" s="3" t="inlineStr">
        <is>
          <t>opemalirsen</t>
        </is>
      </c>
      <c r="H65" s="3" t="inlineStr"/>
      <c r="I65" s="73" t="inlineStr">
        <is>
          <t>https://www.astrazeneca.com/content/dam/az/Investor_Relations/annual-report-2025/pdf/AstraZeneca_Development_Pipeline_2025.pdf</t>
        </is>
      </c>
      <c r="J65" s="73" t="inlineStr">
        <is>
          <t>https://annual-report.bms.com/assets/bms-ar/documents/2025/2025-bms-development-portfolio.pdf</t>
        </is>
      </c>
    </row>
    <row r="66">
      <c r="A66" s="3" t="inlineStr">
        <is>
          <t>Infectious disease</t>
        </is>
      </c>
      <c r="B66" s="3" t="inlineStr">
        <is>
          <t>Bispecific antibody</t>
        </is>
      </c>
      <c r="C66" s="3" t="inlineStr">
        <is>
          <t>Bronchiectasis / Pseudomonas</t>
        </is>
      </c>
      <c r="D66" s="74" t="inlineStr">
        <is>
          <t>az-only</t>
        </is>
      </c>
      <c r="E66" s="3" t="n">
        <v>1</v>
      </c>
      <c r="F66" s="3" t="n">
        <v>0</v>
      </c>
      <c r="G66" s="3" t="inlineStr">
        <is>
          <t>AZD0292</t>
        </is>
      </c>
      <c r="H66" s="3" t="inlineStr"/>
      <c r="I66" s="73" t="inlineStr">
        <is>
          <t>https://www.astrazeneca.com/content/dam/az/Investor_Relations/annual-report-2025/pdf/AstraZeneca_Development_Pipeline_2025.pdf</t>
        </is>
      </c>
      <c r="J66" s="73" t="inlineStr">
        <is>
          <t>https://annual-report.bms.com/assets/bms-ar/documents/2025/2025-bms-development-portfolio.pdf</t>
        </is>
      </c>
    </row>
    <row r="67">
      <c r="A67" s="3" t="inlineStr">
        <is>
          <t>Infectious disease</t>
        </is>
      </c>
      <c r="B67" s="3" t="inlineStr">
        <is>
          <t>Monoclonal antibody</t>
        </is>
      </c>
      <c r="C67" s="3" t="inlineStr">
        <is>
          <t>C. difficile recurrence</t>
        </is>
      </c>
      <c r="D67" s="74" t="inlineStr">
        <is>
          <t>az-only</t>
        </is>
      </c>
      <c r="E67" s="3" t="n">
        <v>1</v>
      </c>
      <c r="F67" s="3" t="n">
        <v>0</v>
      </c>
      <c r="G67" s="3" t="inlineStr">
        <is>
          <t>AZD5148</t>
        </is>
      </c>
      <c r="H67" s="3" t="inlineStr"/>
      <c r="I67" s="73" t="inlineStr">
        <is>
          <t>https://www.astrazeneca.com/content/dam/az/Investor_Relations/annual-report-2025/pdf/AstraZeneca_Development_Pipeline_2025.pdf</t>
        </is>
      </c>
      <c r="J67" s="73" t="inlineStr">
        <is>
          <t>https://annual-report.bms.com/assets/bms-ar/documents/2025/2025-bms-development-portfolio.pdf</t>
        </is>
      </c>
    </row>
    <row r="68">
      <c r="A68" s="3" t="inlineStr">
        <is>
          <t>Infectious disease</t>
        </is>
      </c>
      <c r="B68" s="3" t="inlineStr">
        <is>
          <t>Antibody combination</t>
        </is>
      </c>
      <c r="C68" s="3" t="inlineStr">
        <is>
          <t>S. aureus prevention</t>
        </is>
      </c>
      <c r="D68" s="74" t="inlineStr">
        <is>
          <t>az-only</t>
        </is>
      </c>
      <c r="E68" s="3" t="n">
        <v>1</v>
      </c>
      <c r="F68" s="3" t="n">
        <v>0</v>
      </c>
      <c r="G68" s="3" t="inlineStr">
        <is>
          <t>AZD7760</t>
        </is>
      </c>
      <c r="H68" s="3" t="inlineStr"/>
      <c r="I68" s="73" t="inlineStr">
        <is>
          <t>https://www.astrazeneca.com/content/dam/az/Investor_Relations/annual-report-2025/pdf/AstraZeneca_Development_Pipeline_2025.pdf</t>
        </is>
      </c>
      <c r="J68" s="73" t="inlineStr">
        <is>
          <t>https://annual-report.bms.com/assets/bms-ar/documents/2025/2025-bms-development-portfolio.pdf</t>
        </is>
      </c>
    </row>
    <row r="69">
      <c r="A69" s="3" t="inlineStr">
        <is>
          <t>Neuroscience</t>
        </is>
      </c>
      <c r="B69" s="3" t="inlineStr">
        <is>
          <t>Monoclonal antibody</t>
        </is>
      </c>
      <c r="C69" s="3" t="inlineStr">
        <is>
          <t>Alzheimer's disease</t>
        </is>
      </c>
      <c r="D69" s="72" t="inlineStr">
        <is>
          <t>bms-only</t>
        </is>
      </c>
      <c r="E69" s="3" t="n">
        <v>0</v>
      </c>
      <c r="F69" s="3" t="n">
        <v>1</v>
      </c>
      <c r="G69" s="3" t="inlineStr"/>
      <c r="H69" s="3" t="inlineStr">
        <is>
          <t>anti-MTBR tau</t>
        </is>
      </c>
      <c r="I69" s="73" t="inlineStr">
        <is>
          <t>https://www.astrazeneca.com/content/dam/az/Investor_Relations/annual-report-2025/pdf/AstraZeneca_Development_Pipeline_2025.pdf</t>
        </is>
      </c>
      <c r="J69" s="73" t="inlineStr">
        <is>
          <t>https://annual-report.bms.com/assets/bms-ar/documents/2025/2025-bms-development-portfolio.pdf</t>
        </is>
      </c>
    </row>
    <row r="70">
      <c r="A70" s="3" t="inlineStr">
        <is>
          <t>Neuroscience</t>
        </is>
      </c>
      <c r="B70" s="3" t="inlineStr">
        <is>
          <t>Small molecule</t>
        </is>
      </c>
      <c r="C70" s="3" t="inlineStr">
        <is>
          <t>AD agitation</t>
        </is>
      </c>
      <c r="D70" s="72" t="inlineStr">
        <is>
          <t>bms-only</t>
        </is>
      </c>
      <c r="E70" s="3" t="n">
        <v>0</v>
      </c>
      <c r="F70" s="3" t="n">
        <v>1</v>
      </c>
      <c r="G70" s="3" t="inlineStr"/>
      <c r="H70" s="3" t="inlineStr">
        <is>
          <t>FAAH/MAGL dual inhibitor</t>
        </is>
      </c>
      <c r="I70" s="73" t="inlineStr">
        <is>
          <t>https://www.astrazeneca.com/content/dam/az/Investor_Relations/annual-report-2025/pdf/AstraZeneca_Development_Pipeline_2025.pdf</t>
        </is>
      </c>
      <c r="J70" s="73" t="inlineStr">
        <is>
          <t>https://annual-report.bms.com/assets/bms-ar/documents/2025/2025-bms-development-portfolio.pdf</t>
        </is>
      </c>
    </row>
    <row r="71">
      <c r="A71" s="3" t="inlineStr">
        <is>
          <t>Neuroscience</t>
        </is>
      </c>
      <c r="B71" s="3" t="inlineStr">
        <is>
          <t>Small molecule</t>
        </is>
      </c>
      <c r="C71" s="3" t="inlineStr">
        <is>
          <t>MS spasticity</t>
        </is>
      </c>
      <c r="D71" s="72" t="inlineStr">
        <is>
          <t>bms-only</t>
        </is>
      </c>
      <c r="E71" s="3" t="n">
        <v>0</v>
      </c>
      <c r="F71" s="3" t="n">
        <v>1</v>
      </c>
      <c r="G71" s="3" t="inlineStr"/>
      <c r="H71" s="3" t="inlineStr">
        <is>
          <t>FAAH/MAGL dual inhibitor</t>
        </is>
      </c>
      <c r="I71" s="73" t="inlineStr">
        <is>
          <t>https://www.astrazeneca.com/content/dam/az/Investor_Relations/annual-report-2025/pdf/AstraZeneca_Development_Pipeline_2025.pdf</t>
        </is>
      </c>
      <c r="J71" s="73" t="inlineStr">
        <is>
          <t>https://annual-report.bms.com/assets/bms-ar/documents/2025/2025-bms-development-portfolio.pdf</t>
        </is>
      </c>
    </row>
  </sheetData>
  <mergeCells count="2">
    <mergeCell ref="A1:J1"/>
    <mergeCell ref="A2:J2"/>
  </mergeCells>
  <pageMargins left="0.7" right="0.7" top="0.75" bottom="0.75" header="0.3" footer="0.3"/>
  <tableParts count="1">
    <tablePart xmlns:r="http://schemas.openxmlformats.org/officeDocument/2006/relationships" r:id="rId1"/>
  </tableParts>
</worksheet>
</file>

<file path=xl/worksheets/sheet13.xml><?xml version="1.0" encoding="utf-8"?>
<worksheet xmlns="http://schemas.openxmlformats.org/spreadsheetml/2006/main">
  <sheetPr>
    <outlinePr summaryBelow="1" summaryRight="1"/>
    <pageSetUpPr/>
  </sheetPr>
  <dimension ref="A1:F83"/>
  <sheetViews>
    <sheetView showGridLines="0" workbookViewId="0">
      <selection activeCell="A1" sqref="A1"/>
    </sheetView>
  </sheetViews>
  <sheetFormatPr baseColWidth="8" defaultRowHeight="15"/>
  <cols>
    <col width="24" customWidth="1" min="1" max="1"/>
    <col width="30" customWidth="1" min="2" max="2"/>
    <col width="35" customWidth="1" min="3" max="3"/>
    <col width="35" customWidth="1" min="4" max="4"/>
    <col width="30" customWidth="1" min="5" max="5"/>
    <col width="55" customWidth="1" min="6" max="6"/>
  </cols>
  <sheetData>
    <row r="1">
      <c r="A1" s="76" t="inlineStr">
        <is>
          <t>Company</t>
        </is>
      </c>
      <c r="B1" s="76" t="inlineStr">
        <is>
          <t>Disease area</t>
        </is>
      </c>
      <c r="C1" s="76" t="inlineStr">
        <is>
          <t>Program</t>
        </is>
      </c>
      <c r="D1" s="76" t="inlineStr">
        <is>
          <t>Normalized modality family</t>
        </is>
      </c>
      <c r="E1" s="76" t="inlineStr">
        <is>
          <t>Normalized indication territory</t>
        </is>
      </c>
      <c r="F1" s="76" t="inlineStr">
        <is>
          <t>Source URL</t>
        </is>
      </c>
    </row>
    <row r="2">
      <c r="A2" s="3" t="inlineStr">
        <is>
          <t>Bristol Myers Squibb</t>
        </is>
      </c>
      <c r="B2" s="3" t="inlineStr">
        <is>
          <t>Solid-tumor oncology</t>
        </is>
      </c>
      <c r="C2" s="3" t="inlineStr">
        <is>
          <t>izalontamab brengitecan (iza-bren)</t>
        </is>
      </c>
      <c r="D2" s="3" t="inlineStr">
        <is>
          <t>Antibody-drug conjugate</t>
        </is>
      </c>
      <c r="E2" s="3" t="inlineStr">
        <is>
          <t>Breast cancer</t>
        </is>
      </c>
      <c r="F2" s="73" t="inlineStr">
        <is>
          <t>https://annual-report.bms.com/assets/bms-ar/documents/2025/2025-bms-development-portfolio.pdf</t>
        </is>
      </c>
    </row>
    <row r="3">
      <c r="A3" s="3" t="inlineStr">
        <is>
          <t>AstraZeneca</t>
        </is>
      </c>
      <c r="B3" s="3" t="inlineStr">
        <is>
          <t>Solid-tumor oncology</t>
        </is>
      </c>
      <c r="C3" s="3" t="inlineStr">
        <is>
          <t>puxitatug samrotecan</t>
        </is>
      </c>
      <c r="D3" s="3" t="inlineStr">
        <is>
          <t>Antibody-drug conjugate</t>
        </is>
      </c>
      <c r="E3" s="3" t="inlineStr">
        <is>
          <t>Endometrial cancer</t>
        </is>
      </c>
      <c r="F3" s="73" t="inlineStr">
        <is>
          <t>https://www.astrazeneca.com/content/dam/az/Investor_Relations/annual-report-2025/pdf/AstraZeneca_Development_Pipeline_2025.pdf</t>
        </is>
      </c>
    </row>
    <row r="4">
      <c r="A4" s="3" t="inlineStr">
        <is>
          <t>AstraZeneca</t>
        </is>
      </c>
      <c r="B4" s="3" t="inlineStr">
        <is>
          <t>Solid-tumor oncology</t>
        </is>
      </c>
      <c r="C4" s="3" t="inlineStr">
        <is>
          <t>sonesitatug vedotin</t>
        </is>
      </c>
      <c r="D4" s="3" t="inlineStr">
        <is>
          <t>Antibody-drug conjugate</t>
        </is>
      </c>
      <c r="E4" s="3" t="inlineStr">
        <is>
          <t>Gastric / GEJ</t>
        </is>
      </c>
      <c r="F4" s="73" t="inlineStr">
        <is>
          <t>https://www.astrazeneca.com/content/dam/az/Investor_Relations/annual-report-2025/pdf/AstraZeneca_Development_Pipeline_2025.pdf</t>
        </is>
      </c>
    </row>
    <row r="5">
      <c r="A5" s="3" t="inlineStr">
        <is>
          <t>Bristol Myers Squibb</t>
        </is>
      </c>
      <c r="B5" s="3" t="inlineStr">
        <is>
          <t>Solid-tumor oncology</t>
        </is>
      </c>
      <c r="C5" s="3" t="inlineStr">
        <is>
          <t>izalontamab brengitecan (iza-bren)</t>
        </is>
      </c>
      <c r="D5" s="3" t="inlineStr">
        <is>
          <t>Antibody-drug conjugate</t>
        </is>
      </c>
      <c r="E5" s="3" t="inlineStr">
        <is>
          <t>NSCLC</t>
        </is>
      </c>
      <c r="F5" s="73" t="inlineStr">
        <is>
          <t>https://annual-report.bms.com/assets/bms-ar/documents/2025/2025-bms-development-portfolio.pdf</t>
        </is>
      </c>
    </row>
    <row r="6">
      <c r="A6" s="3" t="inlineStr">
        <is>
          <t>AstraZeneca</t>
        </is>
      </c>
      <c r="B6" s="3" t="inlineStr">
        <is>
          <t>Solid-tumor oncology</t>
        </is>
      </c>
      <c r="C6" s="3" t="inlineStr">
        <is>
          <t>puxitatug samrotecan</t>
        </is>
      </c>
      <c r="D6" s="3" t="inlineStr">
        <is>
          <t>Antibody-drug conjugate</t>
        </is>
      </c>
      <c r="E6" s="3" t="inlineStr">
        <is>
          <t>Other solid tumors</t>
        </is>
      </c>
      <c r="F6" s="73" t="inlineStr">
        <is>
          <t>https://www.astrazeneca.com/content/dam/az/Investor_Relations/annual-report-2025/pdf/AstraZeneca_Development_Pipeline_2025.pdf</t>
        </is>
      </c>
    </row>
    <row r="7">
      <c r="A7" s="3" t="inlineStr">
        <is>
          <t>AstraZeneca</t>
        </is>
      </c>
      <c r="B7" s="3" t="inlineStr">
        <is>
          <t>Solid-tumor oncology</t>
        </is>
      </c>
      <c r="C7" s="3" t="inlineStr">
        <is>
          <t>sonesitatug vedotin</t>
        </is>
      </c>
      <c r="D7" s="3" t="inlineStr">
        <is>
          <t>Antibody-drug conjugate</t>
        </is>
      </c>
      <c r="E7" s="3" t="inlineStr">
        <is>
          <t>Other solid tumors</t>
        </is>
      </c>
      <c r="F7" s="73" t="inlineStr">
        <is>
          <t>https://www.astrazeneca.com/content/dam/az/Investor_Relations/annual-report-2025/pdf/AstraZeneca_Development_Pipeline_2025.pdf</t>
        </is>
      </c>
    </row>
    <row r="8">
      <c r="A8" s="3" t="inlineStr">
        <is>
          <t>AstraZeneca</t>
        </is>
      </c>
      <c r="B8" s="3" t="inlineStr">
        <is>
          <t>Solid-tumor oncology</t>
        </is>
      </c>
      <c r="C8" s="3" t="inlineStr">
        <is>
          <t>tilatamig samrotecan</t>
        </is>
      </c>
      <c r="D8" s="3" t="inlineStr">
        <is>
          <t>Antibody-drug conjugate</t>
        </is>
      </c>
      <c r="E8" s="3" t="inlineStr">
        <is>
          <t>Other solid tumors</t>
        </is>
      </c>
      <c r="F8" s="73" t="inlineStr">
        <is>
          <t>https://www.astrazeneca.com/content/dam/az/Investor_Relations/annual-report-2025/pdf/AstraZeneca_Development_Pipeline_2025.pdf</t>
        </is>
      </c>
    </row>
    <row r="9">
      <c r="A9" s="3" t="inlineStr">
        <is>
          <t>AstraZeneca</t>
        </is>
      </c>
      <c r="B9" s="3" t="inlineStr">
        <is>
          <t>Solid-tumor oncology</t>
        </is>
      </c>
      <c r="C9" s="3" t="inlineStr">
        <is>
          <t>torvutatug samrotecan (AZD5335)</t>
        </is>
      </c>
      <c r="D9" s="3" t="inlineStr">
        <is>
          <t>Antibody-drug conjugate</t>
        </is>
      </c>
      <c r="E9" s="3" t="inlineStr">
        <is>
          <t>Other solid tumors</t>
        </is>
      </c>
      <c r="F9" s="73" t="inlineStr">
        <is>
          <t>https://www.astrazeneca.com/content/dam/az/Investor_Relations/annual-report-2025/pdf/AstraZeneca_Development_Pipeline_2025.pdf</t>
        </is>
      </c>
    </row>
    <row r="10">
      <c r="A10" s="3" t="inlineStr">
        <is>
          <t>AstraZeneca</t>
        </is>
      </c>
      <c r="B10" s="3" t="inlineStr">
        <is>
          <t>Solid-tumor oncology</t>
        </is>
      </c>
      <c r="C10" s="3" t="inlineStr">
        <is>
          <t>torvutatug samrotecan (AZD5335)</t>
        </is>
      </c>
      <c r="D10" s="3" t="inlineStr">
        <is>
          <t>Antibody-drug conjugate</t>
        </is>
      </c>
      <c r="E10" s="3" t="inlineStr">
        <is>
          <t>Ovarian cancer</t>
        </is>
      </c>
      <c r="F10" s="73" t="inlineStr">
        <is>
          <t>https://www.astrazeneca.com/content/dam/az/Investor_Relations/annual-report-2025/pdf/AstraZeneca_Development_Pipeline_2025.pdf</t>
        </is>
      </c>
    </row>
    <row r="11">
      <c r="A11" s="3" t="inlineStr">
        <is>
          <t>Bristol Myers Squibb</t>
        </is>
      </c>
      <c r="B11" s="3" t="inlineStr">
        <is>
          <t>Solid-tumor oncology</t>
        </is>
      </c>
      <c r="C11" s="3" t="inlineStr">
        <is>
          <t>izalontamab brengitecan (iza-bren)</t>
        </is>
      </c>
      <c r="D11" s="3" t="inlineStr">
        <is>
          <t>Antibody-drug conjugate</t>
        </is>
      </c>
      <c r="E11" s="3" t="inlineStr">
        <is>
          <t>Urothelial cancer</t>
        </is>
      </c>
      <c r="F11" s="73" t="inlineStr">
        <is>
          <t>https://annual-report.bms.com/assets/bms-ar/documents/2025/2025-bms-development-portfolio.pdf</t>
        </is>
      </c>
    </row>
    <row r="12">
      <c r="A12" s="3" t="inlineStr">
        <is>
          <t>Bristol Myers Squibb</t>
        </is>
      </c>
      <c r="B12" s="3" t="inlineStr">
        <is>
          <t>Solid-tumor oncology</t>
        </is>
      </c>
      <c r="C12" s="3" t="inlineStr">
        <is>
          <t>pumitamig</t>
        </is>
      </c>
      <c r="D12" s="3" t="inlineStr">
        <is>
          <t>Bispecific / dual-target antibody</t>
        </is>
      </c>
      <c r="E12" s="3" t="inlineStr">
        <is>
          <t>Breast cancer</t>
        </is>
      </c>
      <c r="F12" s="73" t="inlineStr">
        <is>
          <t>https://annual-report.bms.com/assets/bms-ar/documents/2025/2025-bms-development-portfolio.pdf</t>
        </is>
      </c>
    </row>
    <row r="13">
      <c r="A13" s="3" t="inlineStr">
        <is>
          <t>AstraZeneca</t>
        </is>
      </c>
      <c r="B13" s="3" t="inlineStr">
        <is>
          <t>Solid-tumor oncology</t>
        </is>
      </c>
      <c r="C13" s="3" t="inlineStr">
        <is>
          <t>rilvegostomig</t>
        </is>
      </c>
      <c r="D13" s="3" t="inlineStr">
        <is>
          <t>Bispecific / dual-target antibody</t>
        </is>
      </c>
      <c r="E13" s="3" t="inlineStr">
        <is>
          <t>Gastric / GEJ</t>
        </is>
      </c>
      <c r="F13" s="73" t="inlineStr">
        <is>
          <t>https://www.astrazeneca.com/content/dam/az/Investor_Relations/annual-report-2025/pdf/AstraZeneca_Development_Pipeline_2025.pdf</t>
        </is>
      </c>
    </row>
    <row r="14">
      <c r="A14" s="3" t="inlineStr">
        <is>
          <t>AstraZeneca</t>
        </is>
      </c>
      <c r="B14" s="3" t="inlineStr">
        <is>
          <t>Solid-tumor oncology</t>
        </is>
      </c>
      <c r="C14" s="3" t="inlineStr">
        <is>
          <t>rilvegostomig</t>
        </is>
      </c>
      <c r="D14" s="3" t="inlineStr">
        <is>
          <t>Bispecific / dual-target antibody</t>
        </is>
      </c>
      <c r="E14" s="3" t="inlineStr">
        <is>
          <t>HCC / biliary</t>
        </is>
      </c>
      <c r="F14" s="73" t="inlineStr">
        <is>
          <t>https://www.astrazeneca.com/content/dam/az/Investor_Relations/annual-report-2025/pdf/AstraZeneca_Development_Pipeline_2025.pdf</t>
        </is>
      </c>
    </row>
    <row r="15">
      <c r="A15" s="3" t="inlineStr">
        <is>
          <t>AstraZeneca</t>
        </is>
      </c>
      <c r="B15" s="3" t="inlineStr">
        <is>
          <t>Solid-tumor oncology</t>
        </is>
      </c>
      <c r="C15" s="3" t="inlineStr">
        <is>
          <t>rilvegostomig</t>
        </is>
      </c>
      <c r="D15" s="3" t="inlineStr">
        <is>
          <t>Bispecific / dual-target antibody</t>
        </is>
      </c>
      <c r="E15" s="3" t="inlineStr">
        <is>
          <t>NSCLC</t>
        </is>
      </c>
      <c r="F15" s="73" t="inlineStr">
        <is>
          <t>https://www.astrazeneca.com/content/dam/az/Investor_Relations/annual-report-2025/pdf/AstraZeneca_Development_Pipeline_2025.pdf</t>
        </is>
      </c>
    </row>
    <row r="16">
      <c r="A16" s="3" t="inlineStr">
        <is>
          <t>AstraZeneca</t>
        </is>
      </c>
      <c r="B16" s="3" t="inlineStr">
        <is>
          <t>Solid-tumor oncology</t>
        </is>
      </c>
      <c r="C16" s="3" t="inlineStr">
        <is>
          <t>volrustomig</t>
        </is>
      </c>
      <c r="D16" s="3" t="inlineStr">
        <is>
          <t>Bispecific / dual-target antibody</t>
        </is>
      </c>
      <c r="E16" s="3" t="inlineStr">
        <is>
          <t>NSCLC</t>
        </is>
      </c>
      <c r="F16" s="73" t="inlineStr">
        <is>
          <t>https://www.astrazeneca.com/content/dam/az/Investor_Relations/annual-report-2025/pdf/AstraZeneca_Development_Pipeline_2025.pdf</t>
        </is>
      </c>
    </row>
    <row r="17">
      <c r="A17" s="3" t="inlineStr">
        <is>
          <t>Bristol Myers Squibb</t>
        </is>
      </c>
      <c r="B17" s="3" t="inlineStr">
        <is>
          <t>Solid-tumor oncology</t>
        </is>
      </c>
      <c r="C17" s="3" t="inlineStr">
        <is>
          <t>pumitamig</t>
        </is>
      </c>
      <c r="D17" s="3" t="inlineStr">
        <is>
          <t>Bispecific / dual-target antibody</t>
        </is>
      </c>
      <c r="E17" s="3" t="inlineStr">
        <is>
          <t>NSCLC</t>
        </is>
      </c>
      <c r="F17" s="73" t="inlineStr">
        <is>
          <t>https://annual-report.bms.com/assets/bms-ar/documents/2025/2025-bms-development-portfolio.pdf</t>
        </is>
      </c>
    </row>
    <row r="18">
      <c r="A18" s="3" t="inlineStr">
        <is>
          <t>AstraZeneca</t>
        </is>
      </c>
      <c r="B18" s="3" t="inlineStr">
        <is>
          <t>Solid-tumor oncology</t>
        </is>
      </c>
      <c r="C18" s="3" t="inlineStr">
        <is>
          <t>rilvegostomig</t>
        </is>
      </c>
      <c r="D18" s="3" t="inlineStr">
        <is>
          <t>Bispecific / dual-target antibody</t>
        </is>
      </c>
      <c r="E18" s="3" t="inlineStr">
        <is>
          <t>Other solid tumors</t>
        </is>
      </c>
      <c r="F18" s="73" t="inlineStr">
        <is>
          <t>https://www.astrazeneca.com/content/dam/az/Investor_Relations/annual-report-2025/pdf/AstraZeneca_Development_Pipeline_2025.pdf</t>
        </is>
      </c>
    </row>
    <row r="19">
      <c r="A19" s="3" t="inlineStr">
        <is>
          <t>AstraZeneca</t>
        </is>
      </c>
      <c r="B19" s="3" t="inlineStr">
        <is>
          <t>Solid-tumor oncology</t>
        </is>
      </c>
      <c r="C19" s="3" t="inlineStr">
        <is>
          <t>volrustomig</t>
        </is>
      </c>
      <c r="D19" s="3" t="inlineStr">
        <is>
          <t>Bispecific / dual-target antibody</t>
        </is>
      </c>
      <c r="E19" s="3" t="inlineStr">
        <is>
          <t>Other solid tumors</t>
        </is>
      </c>
      <c r="F19" s="73" t="inlineStr">
        <is>
          <t>https://www.astrazeneca.com/content/dam/az/Investor_Relations/annual-report-2025/pdf/AstraZeneca_Development_Pipeline_2025.pdf</t>
        </is>
      </c>
    </row>
    <row r="20">
      <c r="A20" s="3" t="inlineStr">
        <is>
          <t>Bristol Myers Squibb</t>
        </is>
      </c>
      <c r="B20" s="3" t="inlineStr">
        <is>
          <t>Solid-tumor oncology</t>
        </is>
      </c>
      <c r="C20" s="3" t="inlineStr">
        <is>
          <t>pumitamig</t>
        </is>
      </c>
      <c r="D20" s="3" t="inlineStr">
        <is>
          <t>Bispecific / dual-target antibody</t>
        </is>
      </c>
      <c r="E20" s="3" t="inlineStr">
        <is>
          <t>Other solid tumors</t>
        </is>
      </c>
      <c r="F20" s="73" t="inlineStr">
        <is>
          <t>https://annual-report.bms.com/assets/bms-ar/documents/2025/2025-bms-development-portfolio.pdf</t>
        </is>
      </c>
    </row>
    <row r="21">
      <c r="A21" s="3" t="inlineStr">
        <is>
          <t>Bristol Myers Squibb</t>
        </is>
      </c>
      <c r="B21" s="3" t="inlineStr">
        <is>
          <t>Solid-tumor oncology</t>
        </is>
      </c>
      <c r="C21" s="3" t="inlineStr">
        <is>
          <t>pumitamig</t>
        </is>
      </c>
      <c r="D21" s="3" t="inlineStr">
        <is>
          <t>Bispecific / dual-target antibody</t>
        </is>
      </c>
      <c r="E21" s="3" t="inlineStr">
        <is>
          <t>SCLC</t>
        </is>
      </c>
      <c r="F21" s="73" t="inlineStr">
        <is>
          <t>https://annual-report.bms.com/assets/bms-ar/documents/2025/2025-bms-development-portfolio.pdf</t>
        </is>
      </c>
    </row>
    <row r="22">
      <c r="A22" s="3" t="inlineStr">
        <is>
          <t>Bristol Myers Squibb</t>
        </is>
      </c>
      <c r="B22" s="3" t="inlineStr">
        <is>
          <t>Solid-tumor oncology</t>
        </is>
      </c>
      <c r="C22" s="3" t="inlineStr">
        <is>
          <t>RYZ101</t>
        </is>
      </c>
      <c r="D22" s="3" t="inlineStr">
        <is>
          <t>Radiopharmaceutical</t>
        </is>
      </c>
      <c r="E22" s="3" t="inlineStr">
        <is>
          <t>GEP-NET</t>
        </is>
      </c>
      <c r="F22" s="73" t="inlineStr">
        <is>
          <t>https://annual-report.bms.com/assets/bms-ar/documents/2025/2025-bms-development-portfolio.pdf</t>
        </is>
      </c>
    </row>
    <row r="23">
      <c r="A23" s="3" t="inlineStr">
        <is>
          <t>AstraZeneca</t>
        </is>
      </c>
      <c r="B23" s="3" t="inlineStr">
        <is>
          <t>Solid-tumor oncology</t>
        </is>
      </c>
      <c r="C23" s="3" t="inlineStr">
        <is>
          <t>FPI-2265</t>
        </is>
      </c>
      <c r="D23" s="3" t="inlineStr">
        <is>
          <t>Radiopharmaceutical</t>
        </is>
      </c>
      <c r="E23" s="3" t="inlineStr">
        <is>
          <t>Prostate cancer</t>
        </is>
      </c>
      <c r="F23" s="73" t="inlineStr">
        <is>
          <t>https://www.astrazeneca.com/content/dam/az/Investor_Relations/annual-report-2025/pdf/AstraZeneca_Development_Pipeline_2025.pdf</t>
        </is>
      </c>
    </row>
    <row r="24">
      <c r="A24" s="3" t="inlineStr">
        <is>
          <t>AstraZeneca</t>
        </is>
      </c>
      <c r="B24" s="3" t="inlineStr">
        <is>
          <t>Solid-tumor oncology</t>
        </is>
      </c>
      <c r="C24" s="3" t="inlineStr">
        <is>
          <t>camizestrant</t>
        </is>
      </c>
      <c r="D24" s="3" t="inlineStr">
        <is>
          <t>Small molecule / targeted degradation</t>
        </is>
      </c>
      <c r="E24" s="3" t="inlineStr">
        <is>
          <t>Breast cancer</t>
        </is>
      </c>
      <c r="F24" s="73" t="inlineStr">
        <is>
          <t>https://www.astrazeneca.com/content/dam/az/Investor_Relations/annual-report-2025/pdf/AstraZeneca_Development_Pipeline_2025.pdf</t>
        </is>
      </c>
    </row>
    <row r="25">
      <c r="A25" s="3" t="inlineStr">
        <is>
          <t>AstraZeneca</t>
        </is>
      </c>
      <c r="B25" s="3" t="inlineStr">
        <is>
          <t>Solid-tumor oncology</t>
        </is>
      </c>
      <c r="C25" s="3" t="inlineStr">
        <is>
          <t>saruparib</t>
        </is>
      </c>
      <c r="D25" s="3" t="inlineStr">
        <is>
          <t>Small molecule / targeted degradation</t>
        </is>
      </c>
      <c r="E25" s="3" t="inlineStr">
        <is>
          <t>Breast cancer</t>
        </is>
      </c>
      <c r="F25" s="73" t="inlineStr">
        <is>
          <t>https://www.astrazeneca.com/content/dam/az/Investor_Relations/annual-report-2025/pdf/AstraZeneca_Development_Pipeline_2025.pdf</t>
        </is>
      </c>
    </row>
    <row r="26">
      <c r="A26" s="3" t="inlineStr">
        <is>
          <t>Bristol Myers Squibb</t>
        </is>
      </c>
      <c r="B26" s="3" t="inlineStr">
        <is>
          <t>Solid-tumor oncology</t>
        </is>
      </c>
      <c r="C26" s="3" t="inlineStr">
        <is>
          <t>navlimetostat</t>
        </is>
      </c>
      <c r="D26" s="3" t="inlineStr">
        <is>
          <t>Small molecule / targeted degradation</t>
        </is>
      </c>
      <c r="E26" s="3" t="inlineStr">
        <is>
          <t>NSCLC</t>
        </is>
      </c>
      <c r="F26" s="73" t="inlineStr">
        <is>
          <t>https://annual-report.bms.com/assets/bms-ar/documents/2025/2025-bms-development-portfolio.pdf</t>
        </is>
      </c>
    </row>
    <row r="27">
      <c r="A27" s="3" t="inlineStr">
        <is>
          <t>AstraZeneca</t>
        </is>
      </c>
      <c r="B27" s="3" t="inlineStr">
        <is>
          <t>Solid-tumor oncology</t>
        </is>
      </c>
      <c r="C27" s="3" t="inlineStr">
        <is>
          <t>AZD9574</t>
        </is>
      </c>
      <c r="D27" s="3" t="inlineStr">
        <is>
          <t>Small molecule / targeted degradation</t>
        </is>
      </c>
      <c r="E27" s="3" t="inlineStr">
        <is>
          <t>Other solid tumors</t>
        </is>
      </c>
      <c r="F27" s="73" t="inlineStr">
        <is>
          <t>https://www.astrazeneca.com/content/dam/az/Investor_Relations/annual-report-2025/pdf/AstraZeneca_Development_Pipeline_2025.pdf</t>
        </is>
      </c>
    </row>
    <row r="28">
      <c r="A28" s="3" t="inlineStr">
        <is>
          <t>Bristol Myers Squibb</t>
        </is>
      </c>
      <c r="B28" s="3" t="inlineStr">
        <is>
          <t>Solid-tumor oncology</t>
        </is>
      </c>
      <c r="C28" s="3" t="inlineStr">
        <is>
          <t>navlimetostat</t>
        </is>
      </c>
      <c r="D28" s="3" t="inlineStr">
        <is>
          <t>Small molecule / targeted degradation</t>
        </is>
      </c>
      <c r="E28" s="3" t="inlineStr">
        <is>
          <t>Other solid tumors</t>
        </is>
      </c>
      <c r="F28" s="73" t="inlineStr">
        <is>
          <t>https://annual-report.bms.com/assets/bms-ar/documents/2025/2025-bms-development-portfolio.pdf</t>
        </is>
      </c>
    </row>
    <row r="29">
      <c r="A29" s="3" t="inlineStr">
        <is>
          <t>Bristol Myers Squibb</t>
        </is>
      </c>
      <c r="B29" s="3" t="inlineStr">
        <is>
          <t>Solid-tumor oncology</t>
        </is>
      </c>
      <c r="C29" s="3" t="inlineStr">
        <is>
          <t>navlimetostat</t>
        </is>
      </c>
      <c r="D29" s="3" t="inlineStr">
        <is>
          <t>Small molecule / targeted degradation</t>
        </is>
      </c>
      <c r="E29" s="3" t="inlineStr">
        <is>
          <t>Pancreatic cancer</t>
        </is>
      </c>
      <c r="F29" s="73" t="inlineStr">
        <is>
          <t>https://annual-report.bms.com/assets/bms-ar/documents/2025/2025-bms-development-portfolio.pdf</t>
        </is>
      </c>
    </row>
    <row r="30">
      <c r="A30" s="3" t="inlineStr">
        <is>
          <t>AstraZeneca</t>
        </is>
      </c>
      <c r="B30" s="3" t="inlineStr">
        <is>
          <t>Solid-tumor oncology</t>
        </is>
      </c>
      <c r="C30" s="3" t="inlineStr">
        <is>
          <t>saruparib</t>
        </is>
      </c>
      <c r="D30" s="3" t="inlineStr">
        <is>
          <t>Small molecule / targeted degradation</t>
        </is>
      </c>
      <c r="E30" s="3" t="inlineStr">
        <is>
          <t>Prostate cancer</t>
        </is>
      </c>
      <c r="F30" s="73" t="inlineStr">
        <is>
          <t>https://www.astrazeneca.com/content/dam/az/Investor_Relations/annual-report-2025/pdf/AstraZeneca_Development_Pipeline_2025.pdf</t>
        </is>
      </c>
    </row>
    <row r="31">
      <c r="A31" s="3" t="inlineStr">
        <is>
          <t>Bristol Myers Squibb</t>
        </is>
      </c>
      <c r="B31" s="3" t="inlineStr">
        <is>
          <t>Solid-tumor oncology</t>
        </is>
      </c>
      <c r="C31" s="3" t="inlineStr">
        <is>
          <t>AR ligand-directed degrader</t>
        </is>
      </c>
      <c r="D31" s="3" t="inlineStr">
        <is>
          <t>Small molecule / targeted degradation</t>
        </is>
      </c>
      <c r="E31" s="3" t="inlineStr">
        <is>
          <t>Prostate cancer</t>
        </is>
      </c>
      <c r="F31" s="73" t="inlineStr">
        <is>
          <t>https://annual-report.bms.com/assets/bms-ar/documents/2025/2025-bms-development-portfolio.pdf</t>
        </is>
      </c>
    </row>
    <row r="32">
      <c r="A32" s="3" t="inlineStr">
        <is>
          <t>AstraZeneca</t>
        </is>
      </c>
      <c r="B32" s="3" t="inlineStr">
        <is>
          <t>Solid-tumor oncology</t>
        </is>
      </c>
      <c r="C32" s="3" t="inlineStr">
        <is>
          <t>IPH5201</t>
        </is>
      </c>
      <c r="D32" s="3" t="inlineStr">
        <is>
          <t>mAb / IO combination</t>
        </is>
      </c>
      <c r="E32" s="3" t="inlineStr">
        <is>
          <t>NSCLC</t>
        </is>
      </c>
      <c r="F32" s="73" t="inlineStr">
        <is>
          <t>https://www.astrazeneca.com/content/dam/az/Investor_Relations/annual-report-2025/pdf/AstraZeneca_Development_Pipeline_2025.pdf</t>
        </is>
      </c>
    </row>
    <row r="33">
      <c r="A33" s="3" t="inlineStr">
        <is>
          <t>Bristol Myers Squibb</t>
        </is>
      </c>
      <c r="B33" s="3" t="inlineStr">
        <is>
          <t>Solid-tumor oncology</t>
        </is>
      </c>
      <c r="C33" s="3" t="inlineStr">
        <is>
          <t>nivolumab + relatlimab HD</t>
        </is>
      </c>
      <c r="D33" s="3" t="inlineStr">
        <is>
          <t>mAb / IO combination</t>
        </is>
      </c>
      <c r="E33" s="3" t="inlineStr">
        <is>
          <t>NSCLC</t>
        </is>
      </c>
      <c r="F33" s="73" t="inlineStr">
        <is>
          <t>https://annual-report.bms.com/assets/bms-ar/documents/2025/2025-bms-development-portfolio.pdf</t>
        </is>
      </c>
    </row>
    <row r="34">
      <c r="A34" s="3" t="inlineStr">
        <is>
          <t>Bristol Myers Squibb</t>
        </is>
      </c>
      <c r="B34" s="3" t="inlineStr">
        <is>
          <t>Solid-tumor oncology</t>
        </is>
      </c>
      <c r="C34" s="3" t="inlineStr">
        <is>
          <t>atigotatug + nivolumab</t>
        </is>
      </c>
      <c r="D34" s="3" t="inlineStr">
        <is>
          <t>mAb / IO combination</t>
        </is>
      </c>
      <c r="E34" s="3" t="inlineStr">
        <is>
          <t>SCLC</t>
        </is>
      </c>
      <c r="F34" s="73" t="inlineStr">
        <is>
          <t>https://annual-report.bms.com/assets/bms-ar/documents/2025/2025-bms-development-portfolio.pdf</t>
        </is>
      </c>
    </row>
    <row r="35">
      <c r="A35" s="3" t="inlineStr">
        <is>
          <t>AstraZeneca</t>
        </is>
      </c>
      <c r="B35" s="3" t="inlineStr">
        <is>
          <t>Hematology</t>
        </is>
      </c>
      <c r="C35" s="3" t="inlineStr">
        <is>
          <t>AZD0305</t>
        </is>
      </c>
      <c r="D35" s="3" t="inlineStr">
        <is>
          <t>Antibody-drug conjugate</t>
        </is>
      </c>
      <c r="E35" s="3" t="inlineStr">
        <is>
          <t>Multiple myeloma</t>
        </is>
      </c>
      <c r="F35" s="73" t="inlineStr">
        <is>
          <t>https://www.astrazeneca.com/content/dam/az/Investor_Relations/annual-report-2025/pdf/AstraZeneca_Development_Pipeline_2025.pdf</t>
        </is>
      </c>
    </row>
    <row r="36">
      <c r="A36" s="3" t="inlineStr">
        <is>
          <t>AstraZeneca</t>
        </is>
      </c>
      <c r="B36" s="3" t="inlineStr">
        <is>
          <t>Hematology</t>
        </is>
      </c>
      <c r="C36" s="3" t="inlineStr">
        <is>
          <t>AZD0120</t>
        </is>
      </c>
      <c r="D36" s="3" t="inlineStr">
        <is>
          <t>CAR-T</t>
        </is>
      </c>
      <c r="E36" s="3" t="inlineStr">
        <is>
          <t>Multiple myeloma</t>
        </is>
      </c>
      <c r="F36" s="73" t="inlineStr">
        <is>
          <t>https://www.astrazeneca.com/content/dam/az/Investor_Relations/annual-report-2025/pdf/AstraZeneca_Development_Pipeline_2025.pdf</t>
        </is>
      </c>
    </row>
    <row r="37">
      <c r="A37" s="3" t="inlineStr">
        <is>
          <t>Bristol Myers Squibb</t>
        </is>
      </c>
      <c r="B37" s="3" t="inlineStr">
        <is>
          <t>Hematology</t>
        </is>
      </c>
      <c r="C37" s="3" t="inlineStr">
        <is>
          <t>arlo-cel</t>
        </is>
      </c>
      <c r="D37" s="3" t="inlineStr">
        <is>
          <t>CAR-T</t>
        </is>
      </c>
      <c r="E37" s="3" t="inlineStr">
        <is>
          <t>Multiple myeloma</t>
        </is>
      </c>
      <c r="F37" s="73" t="inlineStr">
        <is>
          <t>https://annual-report.bms.com/assets/bms-ar/documents/2025/2025-bms-development-portfolio.pdf</t>
        </is>
      </c>
    </row>
    <row r="38">
      <c r="A38" s="3" t="inlineStr">
        <is>
          <t>AstraZeneca</t>
        </is>
      </c>
      <c r="B38" s="3" t="inlineStr">
        <is>
          <t>Hematology</t>
        </is>
      </c>
      <c r="C38" s="3" t="inlineStr">
        <is>
          <t>AZD3470</t>
        </is>
      </c>
      <c r="D38" s="3" t="inlineStr">
        <is>
          <t>Small molecule</t>
        </is>
      </c>
      <c r="E38" s="3" t="inlineStr">
        <is>
          <t>Hodgkin lymphoma</t>
        </is>
      </c>
      <c r="F38" s="73" t="inlineStr">
        <is>
          <t>https://www.astrazeneca.com/content/dam/az/Investor_Relations/annual-report-2025/pdf/AstraZeneca_Development_Pipeline_2025.pdf</t>
        </is>
      </c>
    </row>
    <row r="39">
      <c r="A39" s="3" t="inlineStr">
        <is>
          <t>AstraZeneca</t>
        </is>
      </c>
      <c r="B39" s="3" t="inlineStr">
        <is>
          <t>Hematology</t>
        </is>
      </c>
      <c r="C39" s="3" t="inlineStr">
        <is>
          <t>surovatamig</t>
        </is>
      </c>
      <c r="D39" s="3" t="inlineStr">
        <is>
          <t>T-cell engager</t>
        </is>
      </c>
      <c r="E39" s="3" t="inlineStr">
        <is>
          <t>B-ALL</t>
        </is>
      </c>
      <c r="F39" s="73" t="inlineStr">
        <is>
          <t>https://www.astrazeneca.com/content/dam/az/Investor_Relations/annual-report-2025/pdf/AstraZeneca_Development_Pipeline_2025.pdf</t>
        </is>
      </c>
    </row>
    <row r="40">
      <c r="A40" s="3" t="inlineStr">
        <is>
          <t>AstraZeneca</t>
        </is>
      </c>
      <c r="B40" s="3" t="inlineStr">
        <is>
          <t>Hematology</t>
        </is>
      </c>
      <c r="C40" s="3" t="inlineStr">
        <is>
          <t>surovatamig</t>
        </is>
      </c>
      <c r="D40" s="3" t="inlineStr">
        <is>
          <t>T-cell engager</t>
        </is>
      </c>
      <c r="E40" s="3" t="inlineStr">
        <is>
          <t>B-cell lymphoma</t>
        </is>
      </c>
      <c r="F40" s="73" t="inlineStr">
        <is>
          <t>https://www.astrazeneca.com/content/dam/az/Investor_Relations/annual-report-2025/pdf/AstraZeneca_Development_Pipeline_2025.pdf</t>
        </is>
      </c>
    </row>
    <row r="41">
      <c r="A41" s="3" t="inlineStr">
        <is>
          <t>Bristol Myers Squibb</t>
        </is>
      </c>
      <c r="B41" s="3" t="inlineStr">
        <is>
          <t>Hematology</t>
        </is>
      </c>
      <c r="C41" s="3" t="inlineStr">
        <is>
          <t>golcadomide</t>
        </is>
      </c>
      <c r="D41" s="3" t="inlineStr">
        <is>
          <t>Targeted protein degradation / CELMoD</t>
        </is>
      </c>
      <c r="E41" s="3" t="inlineStr">
        <is>
          <t>B-cell lymphoma</t>
        </is>
      </c>
      <c r="F41" s="73" t="inlineStr">
        <is>
          <t>https://annual-report.bms.com/assets/bms-ar/documents/2025/2025-bms-development-portfolio.pdf</t>
        </is>
      </c>
    </row>
    <row r="42">
      <c r="A42" s="3" t="inlineStr">
        <is>
          <t>Bristol Myers Squibb</t>
        </is>
      </c>
      <c r="B42" s="3" t="inlineStr">
        <is>
          <t>Hematology</t>
        </is>
      </c>
      <c r="C42" s="3" t="inlineStr">
        <is>
          <t>iberdomide</t>
        </is>
      </c>
      <c r="D42" s="3" t="inlineStr">
        <is>
          <t>Targeted protein degradation / CELMoD</t>
        </is>
      </c>
      <c r="E42" s="3" t="inlineStr">
        <is>
          <t>Multiple myeloma</t>
        </is>
      </c>
      <c r="F42" s="73" t="inlineStr">
        <is>
          <t>https://annual-report.bms.com/assets/bms-ar/documents/2025/2025-bms-development-portfolio.pdf</t>
        </is>
      </c>
    </row>
    <row r="43">
      <c r="A43" s="3" t="inlineStr">
        <is>
          <t>Bristol Myers Squibb</t>
        </is>
      </c>
      <c r="B43" s="3" t="inlineStr">
        <is>
          <t>Hematology</t>
        </is>
      </c>
      <c r="C43" s="3" t="inlineStr">
        <is>
          <t>mezigdomide</t>
        </is>
      </c>
      <c r="D43" s="3" t="inlineStr">
        <is>
          <t>Targeted protein degradation / CELMoD</t>
        </is>
      </c>
      <c r="E43" s="3" t="inlineStr">
        <is>
          <t>Multiple myeloma</t>
        </is>
      </c>
      <c r="F43" s="73" t="inlineStr">
        <is>
          <t>https://annual-report.bms.com/assets/bms-ar/documents/2025/2025-bms-development-portfolio.pdf</t>
        </is>
      </c>
    </row>
    <row r="44">
      <c r="A44" s="3" t="inlineStr">
        <is>
          <t>Bristol Myers Squibb</t>
        </is>
      </c>
      <c r="B44" s="3" t="inlineStr">
        <is>
          <t>Immunology, respiratory &amp; fibrosis</t>
        </is>
      </c>
      <c r="C44" s="3" t="inlineStr">
        <is>
          <t>zola-cel (CD19 NEX-T)</t>
        </is>
      </c>
      <c r="D44" s="3" t="inlineStr">
        <is>
          <t>CAR-T</t>
        </is>
      </c>
      <c r="E44" s="3" t="inlineStr">
        <is>
          <t>SLE / systemic sclerosis</t>
        </is>
      </c>
      <c r="F44" s="73" t="inlineStr">
        <is>
          <t>https://annual-report.bms.com/assets/bms-ar/documents/2025/2025-bms-development-portfolio.pdf</t>
        </is>
      </c>
    </row>
    <row r="45">
      <c r="A45" s="3" t="inlineStr">
        <is>
          <t>AstraZeneca</t>
        </is>
      </c>
      <c r="B45" s="3" t="inlineStr">
        <is>
          <t>Immunology, respiratory &amp; fibrosis</t>
        </is>
      </c>
      <c r="C45" s="3" t="inlineStr">
        <is>
          <t>AZD8630</t>
        </is>
      </c>
      <c r="D45" s="3" t="inlineStr">
        <is>
          <t>Inhaled biologic</t>
        </is>
      </c>
      <c r="E45" s="3" t="inlineStr">
        <is>
          <t>Asthma</t>
        </is>
      </c>
      <c r="F45" s="73" t="inlineStr">
        <is>
          <t>https://www.astrazeneca.com/content/dam/az/Investor_Relations/annual-report-2025/pdf/AstraZeneca_Development_Pipeline_2025.pdf</t>
        </is>
      </c>
    </row>
    <row r="46">
      <c r="A46" s="3" t="inlineStr">
        <is>
          <t>AstraZeneca</t>
        </is>
      </c>
      <c r="B46" s="3" t="inlineStr">
        <is>
          <t>Immunology, respiratory &amp; fibrosis</t>
        </is>
      </c>
      <c r="C46" s="3" t="inlineStr">
        <is>
          <t>AZD4604</t>
        </is>
      </c>
      <c r="D46" s="3" t="inlineStr">
        <is>
          <t>Inhaled small molecule</t>
        </is>
      </c>
      <c r="E46" s="3" t="inlineStr">
        <is>
          <t>Asthma</t>
        </is>
      </c>
      <c r="F46" s="73" t="inlineStr">
        <is>
          <t>https://www.astrazeneca.com/content/dam/az/Investor_Relations/annual-report-2025/pdf/AstraZeneca_Development_Pipeline_2025.pdf</t>
        </is>
      </c>
    </row>
    <row r="47">
      <c r="A47" s="3" t="inlineStr">
        <is>
          <t>AstraZeneca</t>
        </is>
      </c>
      <c r="B47" s="3" t="inlineStr">
        <is>
          <t>Immunology, respiratory &amp; fibrosis</t>
        </is>
      </c>
      <c r="C47" s="3" t="inlineStr">
        <is>
          <t>tozorakimab</t>
        </is>
      </c>
      <c r="D47" s="3" t="inlineStr">
        <is>
          <t>Monoclonal / bispecific antibody</t>
        </is>
      </c>
      <c r="E47" s="3" t="inlineStr">
        <is>
          <t>COPD</t>
        </is>
      </c>
      <c r="F47" s="73" t="inlineStr">
        <is>
          <t>https://www.astrazeneca.com/content/dam/az/Investor_Relations/annual-report-2025/pdf/AstraZeneca_Development_Pipeline_2025.pdf</t>
        </is>
      </c>
    </row>
    <row r="48">
      <c r="A48" s="3" t="inlineStr">
        <is>
          <t>AstraZeneca</t>
        </is>
      </c>
      <c r="B48" s="3" t="inlineStr">
        <is>
          <t>Immunology, respiratory &amp; fibrosis</t>
        </is>
      </c>
      <c r="C48" s="3" t="inlineStr">
        <is>
          <t>AZD7798</t>
        </is>
      </c>
      <c r="D48" s="3" t="inlineStr">
        <is>
          <t>Monoclonal / bispecific antibody</t>
        </is>
      </c>
      <c r="E48" s="3" t="inlineStr">
        <is>
          <t>Crohn's disease</t>
        </is>
      </c>
      <c r="F48" s="73" t="inlineStr">
        <is>
          <t>https://www.astrazeneca.com/content/dam/az/Investor_Relations/annual-report-2025/pdf/AstraZeneca_Development_Pipeline_2025.pdf</t>
        </is>
      </c>
    </row>
    <row r="49">
      <c r="A49" s="3" t="inlineStr">
        <is>
          <t>Bristol Myers Squibb</t>
        </is>
      </c>
      <c r="B49" s="3" t="inlineStr">
        <is>
          <t>Immunology, respiratory &amp; fibrosis</t>
        </is>
      </c>
      <c r="C49" s="3" t="inlineStr">
        <is>
          <t>obexelimab</t>
        </is>
      </c>
      <c r="D49" s="3" t="inlineStr">
        <is>
          <t>Monoclonal / bispecific antibody</t>
        </is>
      </c>
      <c r="E49" s="3" t="inlineStr">
        <is>
          <t>IgG4-related disease</t>
        </is>
      </c>
      <c r="F49" s="73" t="inlineStr">
        <is>
          <t>https://annual-report.bms.com/assets/bms-ar/documents/2025/2025-bms-development-portfolio.pdf</t>
        </is>
      </c>
    </row>
    <row r="50">
      <c r="A50" s="3" t="inlineStr">
        <is>
          <t>AstraZeneca</t>
        </is>
      </c>
      <c r="B50" s="3" t="inlineStr">
        <is>
          <t>Immunology, respiratory &amp; fibrosis</t>
        </is>
      </c>
      <c r="C50" s="3" t="inlineStr">
        <is>
          <t>AZD1163</t>
        </is>
      </c>
      <c r="D50" s="3" t="inlineStr">
        <is>
          <t>Monoclonal / bispecific antibody</t>
        </is>
      </c>
      <c r="E50" s="3" t="inlineStr">
        <is>
          <t>Rheumatoid arthritis</t>
        </is>
      </c>
      <c r="F50" s="73" t="inlineStr">
        <is>
          <t>https://www.astrazeneca.com/content/dam/az/Investor_Relations/annual-report-2025/pdf/AstraZeneca_Development_Pipeline_2025.pdf</t>
        </is>
      </c>
    </row>
    <row r="51">
      <c r="A51" s="3" t="inlineStr">
        <is>
          <t>AstraZeneca</t>
        </is>
      </c>
      <c r="B51" s="3" t="inlineStr">
        <is>
          <t>Immunology, respiratory &amp; fibrosis</t>
        </is>
      </c>
      <c r="C51" s="3" t="inlineStr">
        <is>
          <t>tozorakimab</t>
        </is>
      </c>
      <c r="D51" s="3" t="inlineStr">
        <is>
          <t>Monoclonal / bispecific antibody</t>
        </is>
      </c>
      <c r="E51" s="3" t="inlineStr">
        <is>
          <t>Severe viral LRTD</t>
        </is>
      </c>
      <c r="F51" s="73" t="inlineStr">
        <is>
          <t>https://www.astrazeneca.com/content/dam/az/Investor_Relations/annual-report-2025/pdf/AstraZeneca_Development_Pipeline_2025.pdf</t>
        </is>
      </c>
    </row>
    <row r="52">
      <c r="A52" s="3" t="inlineStr">
        <is>
          <t>AstraZeneca</t>
        </is>
      </c>
      <c r="B52" s="3" t="inlineStr">
        <is>
          <t>Immunology, respiratory &amp; fibrosis</t>
        </is>
      </c>
      <c r="C52" s="3" t="inlineStr">
        <is>
          <t>atuliflapon</t>
        </is>
      </c>
      <c r="D52" s="3" t="inlineStr">
        <is>
          <t>Oral / systemic small molecule</t>
        </is>
      </c>
      <c r="E52" s="3" t="inlineStr">
        <is>
          <t>Asthma</t>
        </is>
      </c>
      <c r="F52" s="73" t="inlineStr">
        <is>
          <t>https://www.astrazeneca.com/content/dam/az/Investor_Relations/annual-report-2025/pdf/AstraZeneca_Development_Pipeline_2025.pdf</t>
        </is>
      </c>
    </row>
    <row r="53">
      <c r="A53" s="3" t="inlineStr">
        <is>
          <t>AstraZeneca</t>
        </is>
      </c>
      <c r="B53" s="3" t="inlineStr">
        <is>
          <t>Immunology, respiratory &amp; fibrosis</t>
        </is>
      </c>
      <c r="C53" s="3" t="inlineStr">
        <is>
          <t>AZD6793</t>
        </is>
      </c>
      <c r="D53" s="3" t="inlineStr">
        <is>
          <t>Oral / systemic small molecule</t>
        </is>
      </c>
      <c r="E53" s="3" t="inlineStr">
        <is>
          <t>COPD</t>
        </is>
      </c>
      <c r="F53" s="73" t="inlineStr">
        <is>
          <t>https://www.astrazeneca.com/content/dam/az/Investor_Relations/annual-report-2025/pdf/AstraZeneca_Development_Pipeline_2025.pdf</t>
        </is>
      </c>
    </row>
    <row r="54">
      <c r="A54" s="3" t="inlineStr">
        <is>
          <t>Bristol Myers Squibb</t>
        </is>
      </c>
      <c r="B54" s="3" t="inlineStr">
        <is>
          <t>Immunology, respiratory &amp; fibrosis</t>
        </is>
      </c>
      <c r="C54" s="3" t="inlineStr">
        <is>
          <t>admilparant</t>
        </is>
      </c>
      <c r="D54" s="3" t="inlineStr">
        <is>
          <t>Oral / systemic small molecule</t>
        </is>
      </c>
      <c r="E54" s="3" t="inlineStr">
        <is>
          <t>Pulmonary fibrosis</t>
        </is>
      </c>
      <c r="F54" s="73" t="inlineStr">
        <is>
          <t>https://annual-report.bms.com/assets/bms-ar/documents/2025/2025-bms-development-portfolio.pdf</t>
        </is>
      </c>
    </row>
    <row r="55">
      <c r="A55" s="3" t="inlineStr">
        <is>
          <t>AstraZeneca</t>
        </is>
      </c>
      <c r="B55" s="3" t="inlineStr">
        <is>
          <t>Cardiovascular</t>
        </is>
      </c>
      <c r="C55" s="3" t="inlineStr">
        <is>
          <t>laroprovstat</t>
        </is>
      </c>
      <c r="D55" s="3" t="inlineStr">
        <is>
          <t>Other targeted therapy</t>
        </is>
      </c>
      <c r="E55" s="3" t="inlineStr">
        <is>
          <t>Dyslipidemia</t>
        </is>
      </c>
      <c r="F55" s="73" t="inlineStr">
        <is>
          <t>https://www.astrazeneca.com/content/dam/az/Investor_Relations/annual-report-2025/pdf/AstraZeneca_Development_Pipeline_2025.pdf</t>
        </is>
      </c>
    </row>
    <row r="56">
      <c r="A56" s="3" t="inlineStr">
        <is>
          <t>Bristol Myers Squibb</t>
        </is>
      </c>
      <c r="B56" s="3" t="inlineStr">
        <is>
          <t>Cardiovascular</t>
        </is>
      </c>
      <c r="C56" s="3" t="inlineStr">
        <is>
          <t>milvexian</t>
        </is>
      </c>
      <c r="D56" s="3" t="inlineStr">
        <is>
          <t>Small molecule / oral therapy</t>
        </is>
      </c>
      <c r="E56" s="3" t="inlineStr">
        <is>
          <t>AF / stroke prevention</t>
        </is>
      </c>
      <c r="F56" s="73" t="inlineStr">
        <is>
          <t>https://annual-report.bms.com/assets/bms-ar/documents/2025/2025-bms-development-portfolio.pdf</t>
        </is>
      </c>
    </row>
    <row r="57">
      <c r="A57" s="3" t="inlineStr">
        <is>
          <t>AstraZeneca</t>
        </is>
      </c>
      <c r="B57" s="3" t="inlineStr">
        <is>
          <t>Cardiovascular</t>
        </is>
      </c>
      <c r="C57" s="3" t="inlineStr">
        <is>
          <t>AZD5462</t>
        </is>
      </c>
      <c r="D57" s="3" t="inlineStr">
        <is>
          <t>Small molecule / oral therapy</t>
        </is>
      </c>
      <c r="E57" s="3" t="inlineStr">
        <is>
          <t>Heart failure</t>
        </is>
      </c>
      <c r="F57" s="73" t="inlineStr">
        <is>
          <t>https://www.astrazeneca.com/content/dam/az/Investor_Relations/annual-report-2025/pdf/AstraZeneca_Development_Pipeline_2025.pdf</t>
        </is>
      </c>
    </row>
    <row r="58">
      <c r="A58" s="3" t="inlineStr">
        <is>
          <t>Bristol Myers Squibb</t>
        </is>
      </c>
      <c r="B58" s="3" t="inlineStr">
        <is>
          <t>Cardiovascular</t>
        </is>
      </c>
      <c r="C58" s="3" t="inlineStr">
        <is>
          <t>MYK-224</t>
        </is>
      </c>
      <c r="D58" s="3" t="inlineStr">
        <is>
          <t>Small molecule / oral therapy</t>
        </is>
      </c>
      <c r="E58" s="3" t="inlineStr">
        <is>
          <t>Heart failure</t>
        </is>
      </c>
      <c r="F58" s="73" t="inlineStr">
        <is>
          <t>https://annual-report.bms.com/assets/bms-ar/documents/2025/2025-bms-development-portfolio.pdf</t>
        </is>
      </c>
    </row>
    <row r="59">
      <c r="A59" s="3" t="inlineStr">
        <is>
          <t>AstraZeneca</t>
        </is>
      </c>
      <c r="B59" s="3" t="inlineStr">
        <is>
          <t>Cardiovascular</t>
        </is>
      </c>
      <c r="C59" s="3" t="inlineStr">
        <is>
          <t>baxdrostat</t>
        </is>
      </c>
      <c r="D59" s="3" t="inlineStr">
        <is>
          <t>Small molecule / oral therapy</t>
        </is>
      </c>
      <c r="E59" s="3" t="inlineStr">
        <is>
          <t>Hypertension / aldosteronism</t>
        </is>
      </c>
      <c r="F59" s="73" t="inlineStr">
        <is>
          <t>https://www.astrazeneca.com/content/dam/az/Investor_Relations/annual-report-2025/pdf/AstraZeneca_Development_Pipeline_2025.pdf</t>
        </is>
      </c>
    </row>
    <row r="60">
      <c r="A60" s="3" t="inlineStr">
        <is>
          <t>AstraZeneca</t>
        </is>
      </c>
      <c r="B60" s="3" t="inlineStr">
        <is>
          <t>Rare disease</t>
        </is>
      </c>
      <c r="C60" s="3" t="inlineStr">
        <is>
          <t>efzimfotase alfa</t>
        </is>
      </c>
      <c r="D60" s="3" t="inlineStr">
        <is>
          <t>Enzyme replacement</t>
        </is>
      </c>
      <c r="E60" s="3" t="inlineStr">
        <is>
          <t>Hypophosphatasia</t>
        </is>
      </c>
      <c r="F60" s="73" t="inlineStr">
        <is>
          <t>https://www.astrazeneca.com/content/dam/az/Investor_Relations/annual-report-2025/pdf/AstraZeneca_Development_Pipeline_2025.pdf</t>
        </is>
      </c>
    </row>
    <row r="61">
      <c r="A61" s="3" t="inlineStr">
        <is>
          <t>AstraZeneca</t>
        </is>
      </c>
      <c r="B61" s="3" t="inlineStr">
        <is>
          <t>Rare disease</t>
        </is>
      </c>
      <c r="C61" s="3" t="inlineStr">
        <is>
          <t>ALXN2420</t>
        </is>
      </c>
      <c r="D61" s="3" t="inlineStr">
        <is>
          <t>Peptide / receptor agonist-antagonist</t>
        </is>
      </c>
      <c r="E61" s="3" t="inlineStr">
        <is>
          <t>Acromegaly</t>
        </is>
      </c>
      <c r="F61" s="73" t="inlineStr">
        <is>
          <t>https://www.astrazeneca.com/content/dam/az/Investor_Relations/annual-report-2025/pdf/AstraZeneca_Development_Pipeline_2025.pdf</t>
        </is>
      </c>
    </row>
    <row r="62">
      <c r="A62" s="3" t="inlineStr">
        <is>
          <t>AstraZeneca</t>
        </is>
      </c>
      <c r="B62" s="3" t="inlineStr">
        <is>
          <t>Rare disease</t>
        </is>
      </c>
      <c r="C62" s="3" t="inlineStr">
        <is>
          <t>eneboparatide</t>
        </is>
      </c>
      <c r="D62" s="3" t="inlineStr">
        <is>
          <t>Peptide / receptor agonist-antagonist</t>
        </is>
      </c>
      <c r="E62" s="3" t="inlineStr">
        <is>
          <t>Hypoparathyroidism</t>
        </is>
      </c>
      <c r="F62" s="73" t="inlineStr">
        <is>
          <t>https://www.astrazeneca.com/content/dam/az/Investor_Relations/annual-report-2025/pdf/AstraZeneca_Development_Pipeline_2025.pdf</t>
        </is>
      </c>
    </row>
    <row r="63">
      <c r="A63" s="3" t="inlineStr">
        <is>
          <t>AstraZeneca</t>
        </is>
      </c>
      <c r="B63" s="3" t="inlineStr">
        <is>
          <t>Rare disease</t>
        </is>
      </c>
      <c r="C63" s="3" t="inlineStr">
        <is>
          <t>ALXN1920</t>
        </is>
      </c>
      <c r="D63" s="3" t="inlineStr">
        <is>
          <t>Protein / fusion therapeutic</t>
        </is>
      </c>
      <c r="E63" s="3" t="inlineStr">
        <is>
          <t>Primary membranous nephropathy</t>
        </is>
      </c>
      <c r="F63" s="73" t="inlineStr">
        <is>
          <t>https://www.astrazeneca.com/content/dam/az/Investor_Relations/annual-report-2025/pdf/AstraZeneca_Development_Pipeline_2025.pdf</t>
        </is>
      </c>
    </row>
    <row r="64">
      <c r="A64" s="3" t="inlineStr">
        <is>
          <t>AstraZeneca</t>
        </is>
      </c>
      <c r="B64" s="3" t="inlineStr">
        <is>
          <t>Rare disease</t>
        </is>
      </c>
      <c r="C64" s="3" t="inlineStr">
        <is>
          <t>ALXN2030</t>
        </is>
      </c>
      <c r="D64" s="3" t="inlineStr">
        <is>
          <t>RNA / siRNA</t>
        </is>
      </c>
      <c r="E64" s="3" t="inlineStr">
        <is>
          <t>Antibody-mediated rejection</t>
        </is>
      </c>
      <c r="F64" s="73" t="inlineStr">
        <is>
          <t>https://www.astrazeneca.com/content/dam/az/Investor_Relations/annual-report-2025/pdf/AstraZeneca_Development_Pipeline_2025.pdf</t>
        </is>
      </c>
    </row>
    <row r="65">
      <c r="A65" s="3" t="inlineStr">
        <is>
          <t>AstraZeneca</t>
        </is>
      </c>
      <c r="B65" s="3" t="inlineStr">
        <is>
          <t>Rare disease</t>
        </is>
      </c>
      <c r="C65" s="3" t="inlineStr">
        <is>
          <t>tarperprumig</t>
        </is>
      </c>
      <c r="D65" s="3" t="inlineStr">
        <is>
          <t>Small molecule / kinase inhibitor</t>
        </is>
      </c>
      <c r="E65" s="3" t="inlineStr">
        <is>
          <t>ANCA vasculitis</t>
        </is>
      </c>
      <c r="F65" s="73" t="inlineStr">
        <is>
          <t>https://www.astrazeneca.com/content/dam/az/Investor_Relations/annual-report-2025/pdf/AstraZeneca_Development_Pipeline_2025.pdf</t>
        </is>
      </c>
    </row>
    <row r="66">
      <c r="A66" s="3" t="inlineStr">
        <is>
          <t>AstraZeneca</t>
        </is>
      </c>
      <c r="B66" s="3" t="inlineStr">
        <is>
          <t>Rare disease</t>
        </is>
      </c>
      <c r="C66" s="3" t="inlineStr">
        <is>
          <t>anselamimab</t>
        </is>
      </c>
      <c r="D66" s="3" t="inlineStr">
        <is>
          <t>mAb / nanobody</t>
        </is>
      </c>
      <c r="E66" s="3" t="inlineStr">
        <is>
          <t>AL amyloidosis</t>
        </is>
      </c>
      <c r="F66" s="73" t="inlineStr">
        <is>
          <t>https://www.astrazeneca.com/content/dam/az/Investor_Relations/annual-report-2025/pdf/AstraZeneca_Development_Pipeline_2025.pdf</t>
        </is>
      </c>
    </row>
    <row r="67">
      <c r="A67" s="3" t="inlineStr">
        <is>
          <t>AstraZeneca</t>
        </is>
      </c>
      <c r="B67" s="3" t="inlineStr">
        <is>
          <t>Rare disease</t>
        </is>
      </c>
      <c r="C67" s="3" t="inlineStr">
        <is>
          <t>cliramitug</t>
        </is>
      </c>
      <c r="D67" s="3" t="inlineStr">
        <is>
          <t>mAb / nanobody</t>
        </is>
      </c>
      <c r="E67" s="3" t="inlineStr">
        <is>
          <t>ATTR-CM</t>
        </is>
      </c>
      <c r="F67" s="73" t="inlineStr">
        <is>
          <t>https://www.astrazeneca.com/content/dam/az/Investor_Relations/annual-report-2025/pdf/AstraZeneca_Development_Pipeline_2025.pdf</t>
        </is>
      </c>
    </row>
    <row r="68">
      <c r="A68" s="3" t="inlineStr">
        <is>
          <t>AstraZeneca</t>
        </is>
      </c>
      <c r="B68" s="3" t="inlineStr">
        <is>
          <t>Rare disease</t>
        </is>
      </c>
      <c r="C68" s="3" t="inlineStr">
        <is>
          <t>gefurulimab</t>
        </is>
      </c>
      <c r="D68" s="3" t="inlineStr">
        <is>
          <t>mAb / nanobody</t>
        </is>
      </c>
      <c r="E68" s="3" t="inlineStr">
        <is>
          <t>gMG</t>
        </is>
      </c>
      <c r="F68" s="73" t="inlineStr">
        <is>
          <t>https://www.astrazeneca.com/content/dam/az/Investor_Relations/annual-report-2025/pdf/AstraZeneca_Development_Pipeline_2025.pdf</t>
        </is>
      </c>
    </row>
    <row r="69">
      <c r="A69" s="3" t="inlineStr">
        <is>
          <t>AstraZeneca</t>
        </is>
      </c>
      <c r="B69" s="3" t="inlineStr">
        <is>
          <t>Renal &amp; metabolic</t>
        </is>
      </c>
      <c r="C69" s="3" t="inlineStr">
        <is>
          <t>balcinrenone / dapagliflozin</t>
        </is>
      </c>
      <c r="D69" s="3" t="inlineStr">
        <is>
          <t>Combination therapy</t>
        </is>
      </c>
      <c r="E69" s="3" t="inlineStr">
        <is>
          <t>CKD / proteinuria</t>
        </is>
      </c>
      <c r="F69" s="73" t="inlineStr">
        <is>
          <t>https://www.astrazeneca.com/content/dam/az/Investor_Relations/annual-report-2025/pdf/AstraZeneca_Development_Pipeline_2025.pdf</t>
        </is>
      </c>
    </row>
    <row r="70">
      <c r="A70" s="3" t="inlineStr">
        <is>
          <t>AstraZeneca</t>
        </is>
      </c>
      <c r="B70" s="3" t="inlineStr">
        <is>
          <t>Renal &amp; metabolic</t>
        </is>
      </c>
      <c r="C70" s="3" t="inlineStr">
        <is>
          <t>zibotentan / dapagliflozin</t>
        </is>
      </c>
      <c r="D70" s="3" t="inlineStr">
        <is>
          <t>Combination therapy</t>
        </is>
      </c>
      <c r="E70" s="3" t="inlineStr">
        <is>
          <t>CKD / proteinuria</t>
        </is>
      </c>
      <c r="F70" s="73" t="inlineStr">
        <is>
          <t>https://www.astrazeneca.com/content/dam/az/Investor_Relations/annual-report-2025/pdf/AstraZeneca_Development_Pipeline_2025.pdf</t>
        </is>
      </c>
    </row>
    <row r="71">
      <c r="A71" s="3" t="inlineStr">
        <is>
          <t>AstraZeneca</t>
        </is>
      </c>
      <c r="B71" s="3" t="inlineStr">
        <is>
          <t>Renal &amp; metabolic</t>
        </is>
      </c>
      <c r="C71" s="3" t="inlineStr">
        <is>
          <t>balcinrenone / dapagliflozin</t>
        </is>
      </c>
      <c r="D71" s="3" t="inlineStr">
        <is>
          <t>Combination therapy</t>
        </is>
      </c>
      <c r="E71" s="3" t="inlineStr">
        <is>
          <t>HF with CKD</t>
        </is>
      </c>
      <c r="F71" s="73" t="inlineStr">
        <is>
          <t>https://www.astrazeneca.com/content/dam/az/Investor_Relations/annual-report-2025/pdf/AstraZeneca_Development_Pipeline_2025.pdf</t>
        </is>
      </c>
    </row>
    <row r="72">
      <c r="A72" s="3" t="inlineStr">
        <is>
          <t>AstraZeneca</t>
        </is>
      </c>
      <c r="B72" s="3" t="inlineStr">
        <is>
          <t>Renal &amp; metabolic</t>
        </is>
      </c>
      <c r="C72" s="3" t="inlineStr">
        <is>
          <t>AZD9550 + AZD6234</t>
        </is>
      </c>
      <c r="D72" s="3" t="inlineStr">
        <is>
          <t>Combination therapy</t>
        </is>
      </c>
      <c r="E72" s="3" t="inlineStr">
        <is>
          <t>Obesity / weight management</t>
        </is>
      </c>
      <c r="F72" s="73" t="inlineStr">
        <is>
          <t>https://www.astrazeneca.com/content/dam/az/Investor_Relations/annual-report-2025/pdf/AstraZeneca_Development_Pipeline_2025.pdf</t>
        </is>
      </c>
    </row>
    <row r="73">
      <c r="A73" s="3" t="inlineStr">
        <is>
          <t>AstraZeneca</t>
        </is>
      </c>
      <c r="B73" s="3" t="inlineStr">
        <is>
          <t>Renal &amp; metabolic</t>
        </is>
      </c>
      <c r="C73" s="3" t="inlineStr">
        <is>
          <t>elecoglipron (AZD5004)</t>
        </is>
      </c>
      <c r="D73" s="3" t="inlineStr">
        <is>
          <t>Oral small molecule</t>
        </is>
      </c>
      <c r="E73" s="3" t="inlineStr">
        <is>
          <t>Obesity / weight management</t>
        </is>
      </c>
      <c r="F73" s="73" t="inlineStr">
        <is>
          <t>https://www.astrazeneca.com/content/dam/az/Investor_Relations/annual-report-2025/pdf/AstraZeneca_Development_Pipeline_2025.pdf</t>
        </is>
      </c>
    </row>
    <row r="74">
      <c r="A74" s="3" t="inlineStr">
        <is>
          <t>AstraZeneca</t>
        </is>
      </c>
      <c r="B74" s="3" t="inlineStr">
        <is>
          <t>Renal &amp; metabolic</t>
        </is>
      </c>
      <c r="C74" s="3" t="inlineStr">
        <is>
          <t>elecoglipron (AZD5004)</t>
        </is>
      </c>
      <c r="D74" s="3" t="inlineStr">
        <is>
          <t>Oral small molecule</t>
        </is>
      </c>
      <c r="E74" s="3" t="inlineStr">
        <is>
          <t>Type 2 diabetes</t>
        </is>
      </c>
      <c r="F74" s="73" t="inlineStr">
        <is>
          <t>https://www.astrazeneca.com/content/dam/az/Investor_Relations/annual-report-2025/pdf/AstraZeneca_Development_Pipeline_2025.pdf</t>
        </is>
      </c>
    </row>
    <row r="75">
      <c r="A75" s="3" t="inlineStr">
        <is>
          <t>AstraZeneca</t>
        </is>
      </c>
      <c r="B75" s="3" t="inlineStr">
        <is>
          <t>Renal &amp; metabolic</t>
        </is>
      </c>
      <c r="C75" s="3" t="inlineStr">
        <is>
          <t>AZD2389</t>
        </is>
      </c>
      <c r="D75" s="3" t="inlineStr">
        <is>
          <t>Other targeted / RNA</t>
        </is>
      </c>
      <c r="E75" s="3" t="inlineStr">
        <is>
          <t>MASH</t>
        </is>
      </c>
      <c r="F75" s="73" t="inlineStr">
        <is>
          <t>https://www.astrazeneca.com/content/dam/az/Investor_Relations/annual-report-2025/pdf/AstraZeneca_Development_Pipeline_2025.pdf</t>
        </is>
      </c>
    </row>
    <row r="76">
      <c r="A76" s="3" t="inlineStr">
        <is>
          <t>AstraZeneca</t>
        </is>
      </c>
      <c r="B76" s="3" t="inlineStr">
        <is>
          <t>Renal &amp; metabolic</t>
        </is>
      </c>
      <c r="C76" s="3" t="inlineStr">
        <is>
          <t>opemalirsen</t>
        </is>
      </c>
      <c r="D76" s="3" t="inlineStr">
        <is>
          <t>Other targeted / RNA</t>
        </is>
      </c>
      <c r="E76" s="3" t="inlineStr">
        <is>
          <t>Nephropathy</t>
        </is>
      </c>
      <c r="F76" s="73" t="inlineStr">
        <is>
          <t>https://www.astrazeneca.com/content/dam/az/Investor_Relations/annual-report-2025/pdf/AstraZeneca_Development_Pipeline_2025.pdf</t>
        </is>
      </c>
    </row>
    <row r="77">
      <c r="A77" s="3" t="inlineStr">
        <is>
          <t>AstraZeneca</t>
        </is>
      </c>
      <c r="B77" s="3" t="inlineStr">
        <is>
          <t>Renal &amp; metabolic</t>
        </is>
      </c>
      <c r="C77" s="3" t="inlineStr">
        <is>
          <t>AZD6234</t>
        </is>
      </c>
      <c r="D77" s="3" t="inlineStr">
        <is>
          <t>Peptide / incretin</t>
        </is>
      </c>
      <c r="E77" s="3" t="inlineStr">
        <is>
          <t>Obesity / weight management</t>
        </is>
      </c>
      <c r="F77" s="73" t="inlineStr">
        <is>
          <t>https://www.astrazeneca.com/content/dam/az/Investor_Relations/annual-report-2025/pdf/AstraZeneca_Development_Pipeline_2025.pdf</t>
        </is>
      </c>
    </row>
    <row r="78">
      <c r="A78" s="3" t="inlineStr">
        <is>
          <t>AstraZeneca</t>
        </is>
      </c>
      <c r="B78" s="3" t="inlineStr">
        <is>
          <t>Infectious disease</t>
        </is>
      </c>
      <c r="C78" s="3" t="inlineStr">
        <is>
          <t>AZD7760</t>
        </is>
      </c>
      <c r="D78" s="3" t="inlineStr">
        <is>
          <t>Antibody combination</t>
        </is>
      </c>
      <c r="E78" s="3" t="inlineStr">
        <is>
          <t>S. aureus prevention</t>
        </is>
      </c>
      <c r="F78" s="73" t="inlineStr">
        <is>
          <t>https://www.astrazeneca.com/content/dam/az/Investor_Relations/annual-report-2025/pdf/AstraZeneca_Development_Pipeline_2025.pdf</t>
        </is>
      </c>
    </row>
    <row r="79">
      <c r="A79" s="3" t="inlineStr">
        <is>
          <t>AstraZeneca</t>
        </is>
      </c>
      <c r="B79" s="3" t="inlineStr">
        <is>
          <t>Infectious disease</t>
        </is>
      </c>
      <c r="C79" s="3" t="inlineStr">
        <is>
          <t>AZD0292</t>
        </is>
      </c>
      <c r="D79" s="3" t="inlineStr">
        <is>
          <t>Bispecific antibody</t>
        </is>
      </c>
      <c r="E79" s="3" t="inlineStr">
        <is>
          <t>Bronchiectasis / Pseudomonas</t>
        </is>
      </c>
      <c r="F79" s="73" t="inlineStr">
        <is>
          <t>https://www.astrazeneca.com/content/dam/az/Investor_Relations/annual-report-2025/pdf/AstraZeneca_Development_Pipeline_2025.pdf</t>
        </is>
      </c>
    </row>
    <row r="80">
      <c r="A80" s="3" t="inlineStr">
        <is>
          <t>AstraZeneca</t>
        </is>
      </c>
      <c r="B80" s="3" t="inlineStr">
        <is>
          <t>Infectious disease</t>
        </is>
      </c>
      <c r="C80" s="3" t="inlineStr">
        <is>
          <t>AZD5148</t>
        </is>
      </c>
      <c r="D80" s="3" t="inlineStr">
        <is>
          <t>Monoclonal antibody</t>
        </is>
      </c>
      <c r="E80" s="3" t="inlineStr">
        <is>
          <t>C. difficile recurrence</t>
        </is>
      </c>
      <c r="F80" s="73" t="inlineStr">
        <is>
          <t>https://www.astrazeneca.com/content/dam/az/Investor_Relations/annual-report-2025/pdf/AstraZeneca_Development_Pipeline_2025.pdf</t>
        </is>
      </c>
    </row>
    <row r="81">
      <c r="A81" s="3" t="inlineStr">
        <is>
          <t>Bristol Myers Squibb</t>
        </is>
      </c>
      <c r="B81" s="3" t="inlineStr">
        <is>
          <t>Neuroscience</t>
        </is>
      </c>
      <c r="C81" s="3" t="inlineStr">
        <is>
          <t>anti-MTBR tau</t>
        </is>
      </c>
      <c r="D81" s="3" t="inlineStr">
        <is>
          <t>Monoclonal antibody</t>
        </is>
      </c>
      <c r="E81" s="3" t="inlineStr">
        <is>
          <t>Alzheimer's disease</t>
        </is>
      </c>
      <c r="F81" s="73" t="inlineStr">
        <is>
          <t>https://annual-report.bms.com/assets/bms-ar/documents/2025/2025-bms-development-portfolio.pdf</t>
        </is>
      </c>
    </row>
    <row r="82">
      <c r="A82" s="3" t="inlineStr">
        <is>
          <t>Bristol Myers Squibb</t>
        </is>
      </c>
      <c r="B82" s="3" t="inlineStr">
        <is>
          <t>Neuroscience</t>
        </is>
      </c>
      <c r="C82" s="3" t="inlineStr">
        <is>
          <t>FAAH/MAGL dual inhibitor</t>
        </is>
      </c>
      <c r="D82" s="3" t="inlineStr">
        <is>
          <t>Small molecule</t>
        </is>
      </c>
      <c r="E82" s="3" t="inlineStr">
        <is>
          <t>AD agitation</t>
        </is>
      </c>
      <c r="F82" s="73" t="inlineStr">
        <is>
          <t>https://annual-report.bms.com/assets/bms-ar/documents/2025/2025-bms-development-portfolio.pdf</t>
        </is>
      </c>
    </row>
    <row r="83">
      <c r="A83" s="3" t="inlineStr">
        <is>
          <t>Bristol Myers Squibb</t>
        </is>
      </c>
      <c r="B83" s="3" t="inlineStr">
        <is>
          <t>Neuroscience</t>
        </is>
      </c>
      <c r="C83" s="3" t="inlineStr">
        <is>
          <t>FAAH/MAGL dual inhibitor</t>
        </is>
      </c>
      <c r="D83" s="3" t="inlineStr">
        <is>
          <t>Small molecule</t>
        </is>
      </c>
      <c r="E83" s="3" t="inlineStr">
        <is>
          <t>MS spasticity</t>
        </is>
      </c>
      <c r="F83" s="73" t="inlineStr">
        <is>
          <t>https://annual-report.bms.com/assets/bms-ar/documents/2025/2025-bms-development-portfolio.pdf</t>
        </is>
      </c>
    </row>
  </sheetData>
  <pageMargins left="0.7" right="0.7" top="0.75" bottom="0.75" header="0.3" footer="0.3"/>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sheetPr>
  <dimension ref="A1:AA20"/>
  <sheetViews>
    <sheetView showGridLines="0" workbookViewId="0">
      <selection activeCell="A1" sqref="A1"/>
    </sheetView>
  </sheetViews>
  <sheetFormatPr baseColWidth="8" defaultRowHeight="15"/>
  <cols>
    <col width="24" customWidth="1" min="1" max="1"/>
    <col width="20" customWidth="1" min="2" max="2"/>
    <col width="20" customWidth="1" min="3" max="3"/>
    <col width="28" customWidth="1" min="4" max="4"/>
    <col width="16" customWidth="1" min="5" max="5"/>
    <col width="32" customWidth="1" min="6" max="6"/>
    <col width="18" customWidth="1" min="7" max="7"/>
    <col width="26" customWidth="1" min="8" max="8"/>
    <col width="34" customWidth="1" min="9" max="9"/>
    <col width="42" customWidth="1" min="10" max="10"/>
    <col width="19" customWidth="1" min="11" max="11"/>
    <col width="18" customWidth="1" min="12" max="12"/>
    <col width="18" customWidth="1" min="13" max="13"/>
    <col width="18" customWidth="1" min="14" max="14"/>
    <col width="18" customWidth="1" min="15" max="15"/>
    <col width="18" customWidth="1" min="16" max="16"/>
    <col width="22" customWidth="1" min="17" max="17"/>
    <col width="28" customWidth="1" min="18" max="18"/>
    <col width="28" customWidth="1" min="19" max="19"/>
    <col width="40" customWidth="1" min="20" max="20"/>
    <col width="44" customWidth="1" min="21" max="21"/>
    <col width="44" customWidth="1" min="22" max="22"/>
    <col width="24" customWidth="1" min="23" max="23"/>
    <col width="42" customWidth="1" min="24" max="24"/>
    <col width="38" customWidth="1" min="25" max="25"/>
    <col width="22" customWidth="1" min="26" max="26"/>
    <col width="55" customWidth="1" min="27" max="27"/>
  </cols>
  <sheetData>
    <row r="1" ht="50" customHeight="1">
      <c r="A1" s="62" t="inlineStr">
        <is>
          <t>Disease area</t>
        </is>
      </c>
      <c r="B1" s="62" t="inlineStr">
        <is>
          <t>Overlap indication</t>
        </is>
      </c>
      <c r="C1" s="62" t="inlineStr">
        <is>
          <t>Company</t>
        </is>
      </c>
      <c r="D1" s="62" t="inlineStr">
        <is>
          <t>Program</t>
        </is>
      </c>
      <c r="E1" s="62" t="inlineStr">
        <is>
          <t>Pipeline stage</t>
        </is>
      </c>
      <c r="F1" s="62" t="inlineStr">
        <is>
          <t>Representative modality / mechanism</t>
        </is>
      </c>
      <c r="G1" s="62" t="inlineStr">
        <is>
          <t>ClinicalTrials.gov ID</t>
        </is>
      </c>
      <c r="H1" s="62" t="inlineStr">
        <is>
          <t>Representative trial</t>
        </is>
      </c>
      <c r="I1" s="62" t="inlineStr">
        <is>
          <t>Potential launch indication (analyst scenario)</t>
        </is>
      </c>
      <c r="J1" s="62" t="inlineStr">
        <is>
          <t>Clinical setting / line of therapy</t>
        </is>
      </c>
      <c r="K1" s="62" t="inlineStr">
        <is>
          <t>Primary completion date</t>
        </is>
      </c>
      <c r="L1" s="62" t="inlineStr">
        <is>
          <t>Primary completion year</t>
        </is>
      </c>
      <c r="M1" s="62" t="inlineStr">
        <is>
          <t>Launch lag - low (years)</t>
        </is>
      </c>
      <c r="N1" s="62" t="inlineStr">
        <is>
          <t>Launch lag - high (years)</t>
        </is>
      </c>
      <c r="O1" s="62" t="inlineStr">
        <is>
          <t>Illustrative launch start</t>
        </is>
      </c>
      <c r="P1" s="62" t="inlineStr">
        <is>
          <t>Illustrative launch end</t>
        </is>
      </c>
      <c r="Q1" s="62" t="inlineStr">
        <is>
          <t>Illustrative launch window</t>
        </is>
      </c>
      <c r="R1" s="62" t="inlineStr">
        <is>
          <t>Historical sales of asset</t>
        </is>
      </c>
      <c r="S1" s="62" t="inlineStr">
        <is>
          <t>Commercial benchmark IDs</t>
        </is>
      </c>
      <c r="T1" s="62" t="inlineStr">
        <is>
          <t>Trial URL</t>
        </is>
      </c>
      <c r="U1" s="62" t="inlineStr">
        <is>
          <t>Pipeline source URL</t>
        </is>
      </c>
      <c r="V1" s="62" t="inlineStr">
        <is>
          <t>Notes</t>
        </is>
      </c>
      <c r="W1" s="80" t="inlineStr">
        <is>
          <t>Brand / marketed component</t>
        </is>
      </c>
      <c r="X1" s="80" t="inlineStr">
        <is>
          <t>Brand relationship</t>
        </is>
      </c>
      <c r="Y1" s="80" t="inlineStr">
        <is>
          <t>Marketed status</t>
        </is>
      </c>
      <c r="Z1" s="80" t="inlineStr">
        <is>
          <t>Sales trend IDs</t>
        </is>
      </c>
      <c r="AA1" s="80" t="inlineStr">
        <is>
          <t>Brand / sales source URL</t>
        </is>
      </c>
    </row>
    <row r="2">
      <c r="A2" s="3" t="inlineStr">
        <is>
          <t>Cardiovascular</t>
        </is>
      </c>
      <c r="B2" s="3" t="inlineStr">
        <is>
          <t>Heart failure</t>
        </is>
      </c>
      <c r="C2" s="63" t="inlineStr">
        <is>
          <t>AstraZeneca</t>
        </is>
      </c>
      <c r="D2" s="3" t="inlineStr">
        <is>
          <t>AZD5462</t>
        </is>
      </c>
      <c r="E2" s="3" t="inlineStr">
        <is>
          <t>Phase IIb</t>
        </is>
      </c>
      <c r="F2" s="3" t="inlineStr">
        <is>
          <t>RXFP1 agonist</t>
        </is>
      </c>
      <c r="G2" s="9" t="inlineStr">
        <is>
          <t>NCT06299826</t>
        </is>
      </c>
      <c r="H2" s="9" t="inlineStr">
        <is>
          <t>LUMINARA</t>
        </is>
      </c>
      <c r="I2" s="3" t="inlineStr">
        <is>
          <t>Chronic heart failure</t>
        </is>
      </c>
      <c r="J2" s="9" t="inlineStr">
        <is>
          <t>Stable chronic heart failure; mechanism-focused proof of concept</t>
        </is>
      </c>
      <c r="K2" s="64" t="n">
        <v>46063</v>
      </c>
      <c r="L2" s="3">
        <f>YEAR(K2)</f>
        <v/>
      </c>
      <c r="M2" s="65" t="n">
        <v>3</v>
      </c>
      <c r="N2" s="65" t="n">
        <v>5</v>
      </c>
      <c r="O2" s="3">
        <f>IF(OR(L2="",M2=""),"",L2+M2)</f>
        <v/>
      </c>
      <c r="P2" s="3">
        <f>IF(OR(L2="",N2=""),"",L2+N2)</f>
        <v/>
      </c>
      <c r="Q2" s="3">
        <f>IF(O2="","Not estimated",TEXT(O2,"0")&amp;"-"&amp;TEXT(P2,"0"))</f>
        <v/>
      </c>
      <c r="R2" s="66" t="inlineStr">
        <is>
          <t>Not launched - no historical sales</t>
        </is>
      </c>
      <c r="S2" s="3" t="inlineStr">
        <is>
          <t>HF_CAMZYOS_2025</t>
        </is>
      </c>
      <c r="T2" s="9" t="inlineStr">
        <is>
          <t>https://clinicaltrials.gov/study/NCT06299826</t>
        </is>
      </c>
      <c r="U2" s="9" t="inlineStr">
        <is>
          <t>https://www.astrazeneca.com/content/dam/az/Investor_Relations/annual-report-2025/pdf/AstraZeneca_Development_Pipeline_2025.pdf</t>
        </is>
      </c>
      <c r="V2" s="3" t="inlineStr">
        <is>
          <t>Phase IIb; no pivotal launch assumption is implied.</t>
        </is>
      </c>
      <c r="W2" t="inlineStr"/>
      <c r="X2" t="inlineStr"/>
      <c r="Y2" t="inlineStr"/>
      <c r="Z2" t="inlineStr"/>
      <c r="AA2" t="inlineStr"/>
    </row>
    <row r="3">
      <c r="A3" s="3" t="inlineStr">
        <is>
          <t>Cardiovascular</t>
        </is>
      </c>
      <c r="B3" s="3" t="inlineStr">
        <is>
          <t>Heart failure</t>
        </is>
      </c>
      <c r="C3" s="67" t="inlineStr">
        <is>
          <t>Bristol Myers Squibb</t>
        </is>
      </c>
      <c r="D3" s="3" t="inlineStr">
        <is>
          <t>MYK-224</t>
        </is>
      </c>
      <c r="E3" s="3" t="inlineStr">
        <is>
          <t>Phase IIa</t>
        </is>
      </c>
      <c r="F3" s="3" t="inlineStr">
        <is>
          <t>Cardiac myosin inhibitor</t>
        </is>
      </c>
      <c r="G3" s="9" t="inlineStr">
        <is>
          <t>NCT06122779</t>
        </is>
      </c>
      <c r="H3" s="9" t="inlineStr">
        <is>
          <t>AURORA-HFpEF</t>
        </is>
      </c>
      <c r="I3" s="3" t="inlineStr">
        <is>
          <t>Heart failure with preserved ejection fraction</t>
        </is>
      </c>
      <c r="J3" s="9" t="inlineStr">
        <is>
          <t>Symptomatic HFpEF; randomized placebo-controlled proof of concept</t>
        </is>
      </c>
      <c r="K3" s="64" t="n">
        <v>46206</v>
      </c>
      <c r="L3" s="3">
        <f>YEAR(K3)</f>
        <v/>
      </c>
      <c r="M3" s="65" t="n">
        <v>3</v>
      </c>
      <c r="N3" s="65" t="n">
        <v>5</v>
      </c>
      <c r="O3" s="3">
        <f>IF(OR(L3="",M3=""),"",L3+M3)</f>
        <v/>
      </c>
      <c r="P3" s="3">
        <f>IF(OR(L3="",N3=""),"",L3+N3)</f>
        <v/>
      </c>
      <c r="Q3" s="3">
        <f>IF(O3="","Not estimated",TEXT(O3,"0")&amp;"-"&amp;TEXT(P3,"0"))</f>
        <v/>
      </c>
      <c r="R3" s="66" t="inlineStr">
        <is>
          <t>Not launched - no historical sales</t>
        </is>
      </c>
      <c r="S3" s="3" t="inlineStr">
        <is>
          <t>HF_CAMZYOS_2025</t>
        </is>
      </c>
      <c r="T3" s="9" t="inlineStr">
        <is>
          <t>https://clinicaltrials.gov/study/NCT06122779</t>
        </is>
      </c>
      <c r="U3" s="9" t="inlineStr">
        <is>
          <t>https://annual-report.bms.com/assets/bms-ar/documents/2025/2025-bms-development-portfolio.pdf</t>
        </is>
      </c>
      <c r="V3" s="3" t="inlineStr">
        <is>
          <t>Cardiac myosin inhibitor; not the same indication as approved Camzyos.</t>
        </is>
      </c>
      <c r="W3" t="inlineStr"/>
      <c r="X3" t="inlineStr"/>
      <c r="Y3" t="inlineStr"/>
      <c r="Z3" t="inlineStr"/>
      <c r="AA3" t="inlineStr"/>
    </row>
    <row r="4">
      <c r="A4" s="3" t="inlineStr">
        <is>
          <t>Hematology</t>
        </is>
      </c>
      <c r="B4" s="3" t="inlineStr">
        <is>
          <t>B-cell lymphoma</t>
        </is>
      </c>
      <c r="C4" s="63" t="inlineStr">
        <is>
          <t>AstraZeneca</t>
        </is>
      </c>
      <c r="D4" s="3" t="inlineStr">
        <is>
          <t>surovatamig</t>
        </is>
      </c>
      <c r="E4" s="3" t="inlineStr">
        <is>
          <t>Phase III</t>
        </is>
      </c>
      <c r="F4" s="3" t="inlineStr">
        <is>
          <t>CD19/CD3 T-cell engager</t>
        </is>
      </c>
      <c r="G4" s="9" t="inlineStr">
        <is>
          <t>NCT06549595</t>
        </is>
      </c>
      <c r="H4" s="9" t="inlineStr">
        <is>
          <t>SOUNDTRACK-F1</t>
        </is>
      </c>
      <c r="I4" s="3" t="inlineStr">
        <is>
          <t>Previously untreated follicular lymphoma</t>
        </is>
      </c>
      <c r="J4" s="9" t="inlineStr">
        <is>
          <t>First-line; surovatamig plus rituximab versus chemoimmunotherapy</t>
        </is>
      </c>
      <c r="K4" s="64" t="n">
        <v>48178</v>
      </c>
      <c r="L4" s="3">
        <f>YEAR(K4)</f>
        <v/>
      </c>
      <c r="M4" s="65" t="n">
        <v>1</v>
      </c>
      <c r="N4" s="65" t="n">
        <v>2</v>
      </c>
      <c r="O4" s="3">
        <f>IF(OR(L4="",M4=""),"",L4+M4)</f>
        <v/>
      </c>
      <c r="P4" s="3">
        <f>IF(OR(L4="",N4=""),"",L4+N4)</f>
        <v/>
      </c>
      <c r="Q4" s="3">
        <f>IF(O4="","Not estimated",TEXT(O4,"0")&amp;"-"&amp;TEXT(P4,"0"))</f>
        <v/>
      </c>
      <c r="R4" s="66" t="inlineStr">
        <is>
          <t>Not launched - no historical sales</t>
        </is>
      </c>
      <c r="S4" s="3" t="inlineStr">
        <is>
          <t>LYMPHOMA_BREYANZI_2025</t>
        </is>
      </c>
      <c r="T4" s="9" t="inlineStr">
        <is>
          <t>https://clinicaltrials.gov/study/NCT06549595</t>
        </is>
      </c>
      <c r="U4" s="9" t="inlineStr">
        <is>
          <t>https://www.astrazeneca.com/content/dam/az/Investor_Relations/annual-report-2025/pdf/AstraZeneca_Development_Pipeline_2025.pdf</t>
        </is>
      </c>
      <c r="V4" s="3" t="inlineStr">
        <is>
          <t>Representative pivotal study in the B-cell lymphoma territory.</t>
        </is>
      </c>
      <c r="W4" t="inlineStr"/>
      <c r="X4" t="inlineStr"/>
      <c r="Y4" t="inlineStr"/>
      <c r="Z4" t="inlineStr"/>
      <c r="AA4" t="inlineStr"/>
    </row>
    <row r="5">
      <c r="A5" s="3" t="inlineStr">
        <is>
          <t>Hematology</t>
        </is>
      </c>
      <c r="B5" s="3" t="inlineStr">
        <is>
          <t>B-cell lymphoma</t>
        </is>
      </c>
      <c r="C5" s="67" t="inlineStr">
        <is>
          <t>Bristol Myers Squibb</t>
        </is>
      </c>
      <c r="D5" s="3" t="inlineStr">
        <is>
          <t>golcadomide</t>
        </is>
      </c>
      <c r="E5" s="3" t="inlineStr">
        <is>
          <t>Phase III</t>
        </is>
      </c>
      <c r="F5" s="3" t="inlineStr">
        <is>
          <t>CELMoD / targeted protein degradation</t>
        </is>
      </c>
      <c r="G5" s="9" t="inlineStr">
        <is>
          <t>NCT06356129</t>
        </is>
      </c>
      <c r="H5" s="9" t="inlineStr">
        <is>
          <t>GOLSEEK-1</t>
        </is>
      </c>
      <c r="I5" s="3" t="inlineStr">
        <is>
          <t>Previously untreated high-risk large B-cell lymphoma</t>
        </is>
      </c>
      <c r="J5" s="9" t="inlineStr">
        <is>
          <t>First-line; golcadomide plus R-CHOP</t>
        </is>
      </c>
      <c r="K5" s="64" t="n">
        <v>46979</v>
      </c>
      <c r="L5" s="3">
        <f>YEAR(K5)</f>
        <v/>
      </c>
      <c r="M5" s="65" t="n">
        <v>1</v>
      </c>
      <c r="N5" s="65" t="n">
        <v>2</v>
      </c>
      <c r="O5" s="3">
        <f>IF(OR(L5="",M5=""),"",L5+M5)</f>
        <v/>
      </c>
      <c r="P5" s="3">
        <f>IF(OR(L5="",N5=""),"",L5+N5)</f>
        <v/>
      </c>
      <c r="Q5" s="3">
        <f>IF(O5="","Not estimated",TEXT(O5,"0")&amp;"-"&amp;TEXT(P5,"0"))</f>
        <v/>
      </c>
      <c r="R5" s="66" t="inlineStr">
        <is>
          <t>Not launched - no historical sales</t>
        </is>
      </c>
      <c r="S5" s="3" t="inlineStr">
        <is>
          <t>LYMPHOMA_BREYANZI_2025</t>
        </is>
      </c>
      <c r="T5" s="9" t="inlineStr">
        <is>
          <t>https://clinicaltrials.gov/study/NCT06356129</t>
        </is>
      </c>
      <c r="U5" s="9" t="inlineStr">
        <is>
          <t>https://annual-report.bms.com/assets/bms-ar/documents/2025/2025-bms-development-portfolio.pdf</t>
        </is>
      </c>
      <c r="V5" s="3" t="inlineStr">
        <is>
          <t>Representative Phase III study; additional follicular lymphoma work is underway.</t>
        </is>
      </c>
      <c r="W5" t="inlineStr"/>
      <c r="X5" t="inlineStr"/>
      <c r="Y5" t="inlineStr"/>
      <c r="Z5" t="inlineStr"/>
      <c r="AA5" t="inlineStr"/>
    </row>
    <row r="6">
      <c r="A6" s="3" t="inlineStr">
        <is>
          <t>Hematology</t>
        </is>
      </c>
      <c r="B6" s="3" t="inlineStr">
        <is>
          <t>Multiple myeloma</t>
        </is>
      </c>
      <c r="C6" s="63" t="inlineStr">
        <is>
          <t>AstraZeneca</t>
        </is>
      </c>
      <c r="D6" s="3" t="inlineStr">
        <is>
          <t>AZD0120</t>
        </is>
      </c>
      <c r="E6" s="3" t="inlineStr">
        <is>
          <t>Phase Ib/II</t>
        </is>
      </c>
      <c r="F6" s="3" t="inlineStr">
        <is>
          <t>CD19/BCMA CAR-T</t>
        </is>
      </c>
      <c r="G6" s="9" t="inlineStr">
        <is>
          <t>NCT05850234</t>
        </is>
      </c>
      <c r="H6" s="9" t="inlineStr">
        <is>
          <t>DURGA-1</t>
        </is>
      </c>
      <c r="I6" s="3" t="inlineStr">
        <is>
          <t>Relapsed/refractory multiple myeloma</t>
        </is>
      </c>
      <c r="J6" s="9" t="inlineStr">
        <is>
          <t>At least three prior lines; CD19/BCMA dual CAR-T</t>
        </is>
      </c>
      <c r="K6" s="64" t="n">
        <v>46630</v>
      </c>
      <c r="L6" s="3">
        <f>YEAR(K6)</f>
        <v/>
      </c>
      <c r="M6" s="65" t="n">
        <v>4</v>
      </c>
      <c r="N6" s="65" t="n">
        <v>6</v>
      </c>
      <c r="O6" s="3">
        <f>IF(OR(L6="",M6=""),"",L6+M6)</f>
        <v/>
      </c>
      <c r="P6" s="3">
        <f>IF(OR(L6="",N6=""),"",L6+N6)</f>
        <v/>
      </c>
      <c r="Q6" s="3">
        <f>IF(O6="","Not estimated",TEXT(O6,"0")&amp;"-"&amp;TEXT(P6,"0"))</f>
        <v/>
      </c>
      <c r="R6" s="66" t="inlineStr">
        <is>
          <t>Not launched - no historical sales</t>
        </is>
      </c>
      <c r="S6" s="3" t="inlineStr">
        <is>
          <t>MM_REVLIMID_2021; MM_POMALYST_2021</t>
        </is>
      </c>
      <c r="T6" s="9" t="inlineStr">
        <is>
          <t>https://clinicaltrials.gov/study/NCT05850234</t>
        </is>
      </c>
      <c r="U6" s="9" t="inlineStr">
        <is>
          <t>https://www.astrazeneca.com/content/dam/az/Investor_Relations/annual-report-2025/pdf/AstraZeneca_Development_Pipeline_2025.pdf</t>
        </is>
      </c>
      <c r="V6" s="3" t="inlineStr">
        <is>
          <t>Early-stage CAR-T program; launch window is highly uncertain.</t>
        </is>
      </c>
      <c r="W6" t="inlineStr"/>
      <c r="X6" t="inlineStr"/>
      <c r="Y6" t="inlineStr"/>
      <c r="Z6" t="inlineStr"/>
      <c r="AA6" t="inlineStr"/>
    </row>
    <row r="7">
      <c r="A7" s="3" t="inlineStr">
        <is>
          <t>Hematology</t>
        </is>
      </c>
      <c r="B7" s="3" t="inlineStr">
        <is>
          <t>Multiple myeloma</t>
        </is>
      </c>
      <c r="C7" s="63" t="inlineStr">
        <is>
          <t>AstraZeneca</t>
        </is>
      </c>
      <c r="D7" s="3" t="inlineStr">
        <is>
          <t>AZD0305</t>
        </is>
      </c>
      <c r="E7" s="3" t="inlineStr">
        <is>
          <t>Phase I/II</t>
        </is>
      </c>
      <c r="F7" s="3" t="inlineStr">
        <is>
          <t>GPRC5D MMAE antibody-drug conjugate</t>
        </is>
      </c>
      <c r="G7" s="9" t="inlineStr">
        <is>
          <t>NCT06106945</t>
        </is>
      </c>
      <c r="H7" s="9" t="inlineStr">
        <is>
          <t>Modular Phase I/II study</t>
        </is>
      </c>
      <c r="I7" s="3" t="inlineStr">
        <is>
          <t>Multiple myeloma</t>
        </is>
      </c>
      <c r="J7" s="9" t="inlineStr">
        <is>
          <t>Monotherapy and combination dose escalation/expansion</t>
        </is>
      </c>
      <c r="K7" s="64" t="n">
        <v>46615</v>
      </c>
      <c r="L7" s="3">
        <f>YEAR(K7)</f>
        <v/>
      </c>
      <c r="M7" s="65" t="n">
        <v>4</v>
      </c>
      <c r="N7" s="65" t="n">
        <v>6</v>
      </c>
      <c r="O7" s="3">
        <f>IF(OR(L7="",M7=""),"",L7+M7)</f>
        <v/>
      </c>
      <c r="P7" s="3">
        <f>IF(OR(L7="",N7=""),"",L7+N7)</f>
        <v/>
      </c>
      <c r="Q7" s="3">
        <f>IF(O7="","Not estimated",TEXT(O7,"0")&amp;"-"&amp;TEXT(P7,"0"))</f>
        <v/>
      </c>
      <c r="R7" s="66" t="inlineStr">
        <is>
          <t>Not launched - no historical sales</t>
        </is>
      </c>
      <c r="S7" s="3" t="inlineStr">
        <is>
          <t>MM_REVLIMID_2021; MM_POMALYST_2021</t>
        </is>
      </c>
      <c r="T7" s="9" t="inlineStr">
        <is>
          <t>https://clinicaltrials.gov/study/NCT06106945</t>
        </is>
      </c>
      <c r="U7" s="9" t="inlineStr">
        <is>
          <t>https://www.astrazeneca.com/content/dam/az/Investor_Relations/annual-report-2025/pdf/AstraZeneca_Development_Pipeline_2025.pdf</t>
        </is>
      </c>
      <c r="V7" s="3" t="inlineStr">
        <is>
          <t>GPRC5D ADC; launch window is highly uncertain.</t>
        </is>
      </c>
      <c r="W7" t="inlineStr"/>
      <c r="X7" t="inlineStr"/>
      <c r="Y7" t="inlineStr"/>
      <c r="Z7" t="inlineStr"/>
      <c r="AA7" t="inlineStr"/>
    </row>
    <row r="8">
      <c r="A8" s="3" t="inlineStr">
        <is>
          <t>Hematology</t>
        </is>
      </c>
      <c r="B8" s="3" t="inlineStr">
        <is>
          <t>Multiple myeloma</t>
        </is>
      </c>
      <c r="C8" s="67" t="inlineStr">
        <is>
          <t>Bristol Myers Squibb</t>
        </is>
      </c>
      <c r="D8" s="3" t="inlineStr">
        <is>
          <t>arlo-cel</t>
        </is>
      </c>
      <c r="E8" s="3" t="inlineStr">
        <is>
          <t>Phase III</t>
        </is>
      </c>
      <c r="F8" s="3" t="inlineStr">
        <is>
          <t>GPRC5D-directed autologous CAR-T</t>
        </is>
      </c>
      <c r="G8" s="9" t="inlineStr">
        <is>
          <t>NCT06615479</t>
        </is>
      </c>
      <c r="H8" s="9" t="inlineStr">
        <is>
          <t>QUINTESSENTIAL-2</t>
        </is>
      </c>
      <c r="I8" s="3" t="inlineStr">
        <is>
          <t>Relapsed/refractory, lenalidomide-exposed multiple myeloma</t>
        </is>
      </c>
      <c r="J8" s="9" t="inlineStr">
        <is>
          <t>Relapsed/refractory setting; versus standard regimens</t>
        </is>
      </c>
      <c r="K8" s="64" t="n">
        <v>46751</v>
      </c>
      <c r="L8" s="3">
        <f>YEAR(K8)</f>
        <v/>
      </c>
      <c r="M8" s="65" t="n">
        <v>1</v>
      </c>
      <c r="N8" s="65" t="n">
        <v>2</v>
      </c>
      <c r="O8" s="3">
        <f>IF(OR(L8="",M8=""),"",L8+M8)</f>
        <v/>
      </c>
      <c r="P8" s="3">
        <f>IF(OR(L8="",N8=""),"",L8+N8)</f>
        <v/>
      </c>
      <c r="Q8" s="3">
        <f>IF(O8="","Not estimated",TEXT(O8,"0")&amp;"-"&amp;TEXT(P8,"0"))</f>
        <v/>
      </c>
      <c r="R8" s="66" t="inlineStr">
        <is>
          <t>Not launched - no historical sales</t>
        </is>
      </c>
      <c r="S8" s="3" t="inlineStr">
        <is>
          <t>MM_REVLIMID_2021; MM_POMALYST_2021</t>
        </is>
      </c>
      <c r="T8" s="9" t="inlineStr">
        <is>
          <t>https://clinicaltrials.gov/study/NCT06615479</t>
        </is>
      </c>
      <c r="U8" s="9" t="inlineStr">
        <is>
          <t>https://annual-report.bms.com/assets/bms-ar/documents/2025/2025-bms-development-portfolio.pdf</t>
        </is>
      </c>
      <c r="V8" s="3" t="inlineStr">
        <is>
          <t>GPRC5D-directed CAR-T; program also has a later-line Phase II study.</t>
        </is>
      </c>
      <c r="W8" t="inlineStr"/>
      <c r="X8" t="inlineStr"/>
      <c r="Y8" t="inlineStr"/>
      <c r="Z8" t="inlineStr"/>
      <c r="AA8" t="inlineStr"/>
    </row>
    <row r="9">
      <c r="A9" s="3" t="inlineStr">
        <is>
          <t>Hematology</t>
        </is>
      </c>
      <c r="B9" s="3" t="inlineStr">
        <is>
          <t>Multiple myeloma</t>
        </is>
      </c>
      <c r="C9" s="67" t="inlineStr">
        <is>
          <t>Bristol Myers Squibb</t>
        </is>
      </c>
      <c r="D9" s="3" t="inlineStr">
        <is>
          <t>iberdomide</t>
        </is>
      </c>
      <c r="E9" s="3" t="inlineStr">
        <is>
          <t>Phase III</t>
        </is>
      </c>
      <c r="F9" s="3" t="inlineStr">
        <is>
          <t>CELMoD / targeted protein degradation</t>
        </is>
      </c>
      <c r="G9" s="9" t="inlineStr">
        <is>
          <t>NCT05827016</t>
        </is>
      </c>
      <c r="H9" s="9" t="inlineStr">
        <is>
          <t>EXCALIBER-Maintenance</t>
        </is>
      </c>
      <c r="I9" s="3" t="inlineStr">
        <is>
          <t>Newly diagnosed multiple myeloma maintenance</t>
        </is>
      </c>
      <c r="J9" s="9" t="inlineStr">
        <is>
          <t>Maintenance following autologous stem-cell transplant</t>
        </is>
      </c>
      <c r="K9" s="64" t="n">
        <v>47192</v>
      </c>
      <c r="L9" s="3">
        <f>YEAR(K9)</f>
        <v/>
      </c>
      <c r="M9" s="65" t="n">
        <v>1</v>
      </c>
      <c r="N9" s="65" t="n">
        <v>2</v>
      </c>
      <c r="O9" s="3">
        <f>IF(OR(L9="",M9=""),"",L9+M9)</f>
        <v/>
      </c>
      <c r="P9" s="3">
        <f>IF(OR(L9="",N9=""),"",L9+N9)</f>
        <v/>
      </c>
      <c r="Q9" s="3">
        <f>IF(O9="","Not estimated",TEXT(O9,"0")&amp;"-"&amp;TEXT(P9,"0"))</f>
        <v/>
      </c>
      <c r="R9" s="66" t="inlineStr">
        <is>
          <t>Not launched - no historical sales</t>
        </is>
      </c>
      <c r="S9" s="3" t="inlineStr">
        <is>
          <t>MM_REVLIMID_2021; MM_POMALYST_2021</t>
        </is>
      </c>
      <c r="T9" s="9" t="inlineStr">
        <is>
          <t>https://clinicaltrials.gov/study/NCT05827016</t>
        </is>
      </c>
      <c r="U9" s="9" t="inlineStr">
        <is>
          <t>https://annual-report.bms.com/assets/bms-ar/documents/2025/2025-bms-development-portfolio.pdf</t>
        </is>
      </c>
      <c r="V9" s="3" t="inlineStr">
        <is>
          <t>Representative Phase III study; the asset has a broader development program.</t>
        </is>
      </c>
      <c r="W9" t="inlineStr"/>
      <c r="X9" t="inlineStr"/>
      <c r="Y9" t="inlineStr"/>
      <c r="Z9" t="inlineStr"/>
      <c r="AA9" t="inlineStr"/>
    </row>
    <row r="10">
      <c r="A10" s="3" t="inlineStr">
        <is>
          <t>Hematology</t>
        </is>
      </c>
      <c r="B10" s="3" t="inlineStr">
        <is>
          <t>Multiple myeloma</t>
        </is>
      </c>
      <c r="C10" s="67" t="inlineStr">
        <is>
          <t>Bristol Myers Squibb</t>
        </is>
      </c>
      <c r="D10" s="3" t="inlineStr">
        <is>
          <t>mezigdomide</t>
        </is>
      </c>
      <c r="E10" s="3" t="inlineStr">
        <is>
          <t>Phase III</t>
        </is>
      </c>
      <c r="F10" s="3" t="inlineStr">
        <is>
          <t>CELMoD / targeted protein degradation</t>
        </is>
      </c>
      <c r="G10" s="9" t="inlineStr">
        <is>
          <t>NCT05552976</t>
        </is>
      </c>
      <c r="H10" s="9" t="inlineStr">
        <is>
          <t>SUCCESSOR-2</t>
        </is>
      </c>
      <c r="I10" s="3" t="inlineStr">
        <is>
          <t>Relapsed/refractory multiple myeloma</t>
        </is>
      </c>
      <c r="J10" s="9" t="inlineStr">
        <is>
          <t>Mezigdomide-carfilzomib-dexamethasone versus carfilzomib-dexamethasone</t>
        </is>
      </c>
      <c r="K10" s="64" t="n">
        <v>46221</v>
      </c>
      <c r="L10" s="3">
        <f>YEAR(K10)</f>
        <v/>
      </c>
      <c r="M10" s="65" t="n">
        <v>1</v>
      </c>
      <c r="N10" s="65" t="n">
        <v>2</v>
      </c>
      <c r="O10" s="3">
        <f>IF(OR(L10="",M10=""),"",L10+M10)</f>
        <v/>
      </c>
      <c r="P10" s="3">
        <f>IF(OR(L10="",N10=""),"",L10+N10)</f>
        <v/>
      </c>
      <c r="Q10" s="3">
        <f>IF(O10="","Not estimated",TEXT(O10,"0")&amp;"-"&amp;TEXT(P10,"0"))</f>
        <v/>
      </c>
      <c r="R10" s="66" t="inlineStr">
        <is>
          <t>Not launched - no historical sales</t>
        </is>
      </c>
      <c r="S10" s="3" t="inlineStr">
        <is>
          <t>MM_REVLIMID_2021; MM_POMALYST_2021</t>
        </is>
      </c>
      <c r="T10" s="9" t="inlineStr">
        <is>
          <t>https://clinicaltrials.gov/study/NCT05552976</t>
        </is>
      </c>
      <c r="U10" s="9" t="inlineStr">
        <is>
          <t>https://annual-report.bms.com/assets/bms-ar/documents/2025/2025-bms-development-portfolio.pdf</t>
        </is>
      </c>
      <c r="V10" s="3" t="inlineStr">
        <is>
          <t>BMS reported positive Phase III results in 2026; launch timing remains an analyst scenario.</t>
        </is>
      </c>
      <c r="W10" t="inlineStr"/>
      <c r="X10" t="inlineStr"/>
      <c r="Y10" t="inlineStr"/>
      <c r="Z10" t="inlineStr"/>
      <c r="AA10" t="inlineStr"/>
    </row>
    <row r="11">
      <c r="A11" s="3" t="inlineStr">
        <is>
          <t>Solid-tumor oncology</t>
        </is>
      </c>
      <c r="B11" s="3" t="inlineStr">
        <is>
          <t>NSCLC</t>
        </is>
      </c>
      <c r="C11" s="63" t="inlineStr">
        <is>
          <t>AstraZeneca</t>
        </is>
      </c>
      <c r="D11" s="3" t="inlineStr">
        <is>
          <t>IPH5201</t>
        </is>
      </c>
      <c r="E11" s="3" t="inlineStr">
        <is>
          <t>Phase II</t>
        </is>
      </c>
      <c r="F11" s="3" t="inlineStr">
        <is>
          <t>CD39 monoclonal antibody</t>
        </is>
      </c>
      <c r="G11" s="9" t="inlineStr">
        <is>
          <t>NCT05742607</t>
        </is>
      </c>
      <c r="H11" s="9" t="inlineStr">
        <is>
          <t>MATISSE</t>
        </is>
      </c>
      <c r="I11" s="3" t="inlineStr">
        <is>
          <t>Resectable stage II-IIIA NSCLC</t>
        </is>
      </c>
      <c r="J11" s="9" t="inlineStr">
        <is>
          <t>Untreated; neoadjuvant therapy before surgery followed by adjuvant therapy</t>
        </is>
      </c>
      <c r="K11" s="9" t="inlineStr">
        <is>
          <t>2025-06</t>
        </is>
      </c>
      <c r="L11" s="3">
        <f>IF(K11="","",VALUE(LEFT(K11,4)))</f>
        <v/>
      </c>
      <c r="M11" s="65" t="n">
        <v>3</v>
      </c>
      <c r="N11" s="65" t="n">
        <v>5</v>
      </c>
      <c r="O11" s="3">
        <f>IF(OR(L11="",M11=""),"",L11+M11)</f>
        <v/>
      </c>
      <c r="P11" s="3">
        <f>IF(OR(L11="",N11=""),"",L11+N11)</f>
        <v/>
      </c>
      <c r="Q11" s="3">
        <f>IF(O11="","Not estimated",TEXT(O11,"0")&amp;"-"&amp;TEXT(P11,"0"))</f>
        <v/>
      </c>
      <c r="R11" s="66" t="inlineStr">
        <is>
          <t>Not launched - no historical sales</t>
        </is>
      </c>
      <c r="S11" s="3" t="inlineStr">
        <is>
          <t>NSCLC_TAGRISSO_2025; NSCLC_OPDIVO_2025</t>
        </is>
      </c>
      <c r="T11" s="9" t="inlineStr">
        <is>
          <t>https://clinicaltrials.gov/study/NCT05742607</t>
        </is>
      </c>
      <c r="U11" s="9" t="inlineStr">
        <is>
          <t>https://www.astrazeneca.com/content/dam/az/Investor_Relations/annual-report-2025/pdf/AstraZeneca_Development_Pipeline_2025.pdf</t>
        </is>
      </c>
      <c r="V11" s="3" t="inlineStr">
        <is>
          <t>Early-stage study; no pivotal launch assumption is implied.</t>
        </is>
      </c>
      <c r="W11" t="inlineStr">
        <is>
          <t>Imfinzi</t>
        </is>
      </c>
      <c r="X11" t="inlineStr">
        <is>
          <t>Marketed combination backbone: Imfinzi (durvalumab)</t>
        </is>
      </c>
      <c r="Y11" t="inlineStr">
        <is>
          <t>IPH5201 remains investigational; Imfinzi is marketed</t>
        </is>
      </c>
      <c r="Z11" t="inlineStr">
        <is>
          <t>IMFINZI</t>
        </is>
      </c>
      <c r="AA11" t="inlineStr">
        <is>
          <t>https://www.sec.gov/Archives/edgar/data/901832/000110465926019130/azn-20251231x20f.htm</t>
        </is>
      </c>
    </row>
    <row r="12">
      <c r="A12" s="3" t="inlineStr">
        <is>
          <t>Solid-tumor oncology</t>
        </is>
      </c>
      <c r="B12" s="3" t="inlineStr">
        <is>
          <t>NSCLC</t>
        </is>
      </c>
      <c r="C12" s="63" t="inlineStr">
        <is>
          <t>AstraZeneca</t>
        </is>
      </c>
      <c r="D12" s="3" t="inlineStr">
        <is>
          <t>rilvegostomig</t>
        </is>
      </c>
      <c r="E12" s="3" t="inlineStr">
        <is>
          <t>Phase III</t>
        </is>
      </c>
      <c r="F12" s="3" t="inlineStr">
        <is>
          <t>PD-1/TIGIT bispecific antibody</t>
        </is>
      </c>
      <c r="G12" s="9" t="inlineStr">
        <is>
          <t>NCT06692738</t>
        </is>
      </c>
      <c r="H12" s="9" t="inlineStr">
        <is>
          <t>ARTEMIDE-Lung02</t>
        </is>
      </c>
      <c r="I12" s="3" t="inlineStr">
        <is>
          <t>Metastatic squamous NSCLC, PD-L1 &gt;=1%</t>
        </is>
      </c>
      <c r="J12" s="9" t="inlineStr">
        <is>
          <t>First-line; rilvegostomig plus platinum chemotherapy</t>
        </is>
      </c>
      <c r="K12" s="64" t="n">
        <v>47154</v>
      </c>
      <c r="L12" s="3">
        <f>YEAR(K12)</f>
        <v/>
      </c>
      <c r="M12" s="65" t="n">
        <v>1</v>
      </c>
      <c r="N12" s="65" t="n">
        <v>2</v>
      </c>
      <c r="O12" s="3">
        <f>IF(OR(L12="",M12=""),"",L12+M12)</f>
        <v/>
      </c>
      <c r="P12" s="3">
        <f>IF(OR(L12="",N12=""),"",L12+N12)</f>
        <v/>
      </c>
      <c r="Q12" s="3">
        <f>IF(O12="","Not estimated",TEXT(O12,"0")&amp;"-"&amp;TEXT(P12,"0"))</f>
        <v/>
      </c>
      <c r="R12" s="66" t="inlineStr">
        <is>
          <t>Not launched - no historical sales</t>
        </is>
      </c>
      <c r="S12" s="3" t="inlineStr">
        <is>
          <t>NSCLC_TAGRISSO_2025; NSCLC_OPDIVO_2025</t>
        </is>
      </c>
      <c r="T12" s="9" t="inlineStr">
        <is>
          <t>https://clinicaltrials.gov/study/NCT06692738</t>
        </is>
      </c>
      <c r="U12" s="9" t="inlineStr">
        <is>
          <t>https://www.astrazeneca.com/content/dam/az/Investor_Relations/annual-report-2025/pdf/AstraZeneca_Development_Pipeline_2025.pdf</t>
        </is>
      </c>
      <c r="V12" s="3" t="inlineStr">
        <is>
          <t>Representative pivotal study; the asset has additional NSCLC programs.</t>
        </is>
      </c>
      <c r="W12" t="inlineStr"/>
      <c r="X12" t="inlineStr"/>
      <c r="Y12" t="inlineStr"/>
      <c r="Z12" t="inlineStr"/>
      <c r="AA12" t="inlineStr"/>
    </row>
    <row r="13">
      <c r="A13" s="3" t="inlineStr">
        <is>
          <t>Solid-tumor oncology</t>
        </is>
      </c>
      <c r="B13" s="3" t="inlineStr">
        <is>
          <t>NSCLC</t>
        </is>
      </c>
      <c r="C13" s="63" t="inlineStr">
        <is>
          <t>AstraZeneca</t>
        </is>
      </c>
      <c r="D13" s="3" t="inlineStr">
        <is>
          <t>volrustomig</t>
        </is>
      </c>
      <c r="E13" s="3" t="inlineStr">
        <is>
          <t>Phase III</t>
        </is>
      </c>
      <c r="F13" s="3" t="inlineStr">
        <is>
          <t>PD-1/CTLA-4 bispecific antibody</t>
        </is>
      </c>
      <c r="G13" s="9" t="inlineStr">
        <is>
          <t>NCT05984277</t>
        </is>
      </c>
      <c r="H13" s="9" t="inlineStr">
        <is>
          <t>eVOLVE-Lung02</t>
        </is>
      </c>
      <c r="I13" s="3" t="inlineStr">
        <is>
          <t>Metastatic NSCLC, PD-L1 &lt;50%</t>
        </is>
      </c>
      <c r="J13" s="9" t="inlineStr">
        <is>
          <t>First-line; volrustomig plus histology-specific chemotherapy</t>
        </is>
      </c>
      <c r="K13" s="64" t="n">
        <v>46867</v>
      </c>
      <c r="L13" s="3">
        <f>YEAR(K13)</f>
        <v/>
      </c>
      <c r="M13" s="65" t="n">
        <v>1</v>
      </c>
      <c r="N13" s="65" t="n">
        <v>2</v>
      </c>
      <c r="O13" s="3">
        <f>IF(OR(L13="",M13=""),"",L13+M13)</f>
        <v/>
      </c>
      <c r="P13" s="3">
        <f>IF(OR(L13="",N13=""),"",L13+N13)</f>
        <v/>
      </c>
      <c r="Q13" s="3">
        <f>IF(O13="","Not estimated",TEXT(O13,"0")&amp;"-"&amp;TEXT(P13,"0"))</f>
        <v/>
      </c>
      <c r="R13" s="66" t="inlineStr">
        <is>
          <t>Not launched - no historical sales</t>
        </is>
      </c>
      <c r="S13" s="3" t="inlineStr">
        <is>
          <t>NSCLC_TAGRISSO_2025; NSCLC_OPDIVO_2025</t>
        </is>
      </c>
      <c r="T13" s="9" t="inlineStr">
        <is>
          <t>https://clinicaltrials.gov/study/NCT05984277</t>
        </is>
      </c>
      <c r="U13" s="9" t="inlineStr">
        <is>
          <t>https://www.astrazeneca.com/content/dam/az/Investor_Relations/annual-report-2025/pdf/AstraZeneca_Development_Pipeline_2025.pdf</t>
        </is>
      </c>
      <c r="V13" s="3" t="inlineStr">
        <is>
          <t>Representative pivotal study.</t>
        </is>
      </c>
      <c r="W13" t="inlineStr"/>
      <c r="X13" t="inlineStr"/>
      <c r="Y13" t="inlineStr"/>
      <c r="Z13" t="inlineStr"/>
      <c r="AA13" t="inlineStr"/>
    </row>
    <row r="14">
      <c r="A14" s="3" t="inlineStr">
        <is>
          <t>Solid-tumor oncology</t>
        </is>
      </c>
      <c r="B14" s="3" t="inlineStr">
        <is>
          <t>NSCLC</t>
        </is>
      </c>
      <c r="C14" s="67" t="inlineStr">
        <is>
          <t>Bristol Myers Squibb</t>
        </is>
      </c>
      <c r="D14" s="3" t="inlineStr">
        <is>
          <t>izalontamab brengitecan (iza-bren)</t>
        </is>
      </c>
      <c r="E14" s="3" t="inlineStr">
        <is>
          <t>Phase II/III</t>
        </is>
      </c>
      <c r="F14" s="3" t="inlineStr">
        <is>
          <t>EGFR x HER3 bispecific antibody-drug conjugate</t>
        </is>
      </c>
      <c r="G14" s="9" t="inlineStr">
        <is>
          <t>NCT07100080</t>
        </is>
      </c>
      <c r="H14" s="9" t="inlineStr">
        <is>
          <t>IZABRIGHT-Lung01</t>
        </is>
      </c>
      <c r="I14" s="3" t="inlineStr">
        <is>
          <t>EGFR-mutated NSCLC after EGFR-TKI failure</t>
        </is>
      </c>
      <c r="J14" s="9" t="inlineStr">
        <is>
          <t>Post-EGFR TKI; compared with platinum-pemetrexed</t>
        </is>
      </c>
      <c r="K14" s="64" t="n">
        <v>47102</v>
      </c>
      <c r="L14" s="3">
        <f>YEAR(K14)</f>
        <v/>
      </c>
      <c r="M14" s="65" t="n">
        <v>1</v>
      </c>
      <c r="N14" s="65" t="n">
        <v>3</v>
      </c>
      <c r="O14" s="3">
        <f>IF(OR(L14="",M14=""),"",L14+M14)</f>
        <v/>
      </c>
      <c r="P14" s="3">
        <f>IF(OR(L14="",N14=""),"",L14+N14)</f>
        <v/>
      </c>
      <c r="Q14" s="3">
        <f>IF(O14="","Not estimated",TEXT(O14,"0")&amp;"-"&amp;TEXT(P14,"0"))</f>
        <v/>
      </c>
      <c r="R14" s="66" t="inlineStr">
        <is>
          <t>Not launched - no historical sales</t>
        </is>
      </c>
      <c r="S14" s="3" t="inlineStr">
        <is>
          <t>NSCLC_TAGRISSO_2025; NSCLC_OPDIVO_2025</t>
        </is>
      </c>
      <c r="T14" s="9" t="inlineStr">
        <is>
          <t>https://clinicaltrials.gov/study/NCT07100080</t>
        </is>
      </c>
      <c r="U14" s="9" t="inlineStr">
        <is>
          <t>https://annual-report.bms.com/assets/bms-ar/documents/2025/2025-bms-development-portfolio.pdf</t>
        </is>
      </c>
      <c r="V14" s="3" t="inlineStr">
        <is>
          <t>Phase II/III design.</t>
        </is>
      </c>
      <c r="W14" t="inlineStr"/>
      <c r="X14" t="inlineStr"/>
      <c r="Y14" t="inlineStr"/>
      <c r="Z14" t="inlineStr"/>
      <c r="AA14" t="inlineStr"/>
    </row>
    <row r="15">
      <c r="A15" s="3" t="inlineStr">
        <is>
          <t>Solid-tumor oncology</t>
        </is>
      </c>
      <c r="B15" s="3" t="inlineStr">
        <is>
          <t>NSCLC</t>
        </is>
      </c>
      <c r="C15" s="67" t="inlineStr">
        <is>
          <t>Bristol Myers Squibb</t>
        </is>
      </c>
      <c r="D15" s="3" t="inlineStr">
        <is>
          <t>navlimetostat</t>
        </is>
      </c>
      <c r="E15" s="3" t="inlineStr">
        <is>
          <t>Phase II</t>
        </is>
      </c>
      <c r="F15" s="3" t="inlineStr">
        <is>
          <t>PRMT5 inhibitor</t>
        </is>
      </c>
      <c r="G15" s="9" t="inlineStr">
        <is>
          <t>NCT06855771</t>
        </is>
      </c>
      <c r="H15" s="9" t="inlineStr">
        <is>
          <t>MountainTAP-9</t>
        </is>
      </c>
      <c r="I15" s="3" t="inlineStr">
        <is>
          <t>MTAP-deleted advanced or metastatic NSCLC</t>
        </is>
      </c>
      <c r="J15" s="9" t="inlineStr">
        <is>
          <t>Previously treated; after progression on prior therapies</t>
        </is>
      </c>
      <c r="K15" s="64" t="n">
        <v>47116</v>
      </c>
      <c r="L15" s="3">
        <f>YEAR(K15)</f>
        <v/>
      </c>
      <c r="M15" s="65" t="n">
        <v>3</v>
      </c>
      <c r="N15" s="65" t="n">
        <v>5</v>
      </c>
      <c r="O15" s="3">
        <f>IF(OR(L15="",M15=""),"",L15+M15)</f>
        <v/>
      </c>
      <c r="P15" s="3">
        <f>IF(OR(L15="",N15=""),"",L15+N15)</f>
        <v/>
      </c>
      <c r="Q15" s="3">
        <f>IF(O15="","Not estimated",TEXT(O15,"0")&amp;"-"&amp;TEXT(P15,"0"))</f>
        <v/>
      </c>
      <c r="R15" s="66" t="inlineStr">
        <is>
          <t>Not launched - no historical sales</t>
        </is>
      </c>
      <c r="S15" s="3" t="inlineStr">
        <is>
          <t>NSCLC_TAGRISSO_2025; NSCLC_OPDIVO_2025</t>
        </is>
      </c>
      <c r="T15" s="9" t="inlineStr">
        <is>
          <t>https://clinicaltrials.gov/study/NCT06855771</t>
        </is>
      </c>
      <c r="U15" s="9" t="inlineStr">
        <is>
          <t>https://annual-report.bms.com/assets/bms-ar/documents/2025/2025-bms-development-portfolio.pdf</t>
        </is>
      </c>
      <c r="V15" s="3" t="inlineStr">
        <is>
          <t>Phase II; a registrational path is not assumed.</t>
        </is>
      </c>
      <c r="W15" t="inlineStr"/>
      <c r="X15" t="inlineStr"/>
      <c r="Y15" t="inlineStr"/>
      <c r="Z15" t="inlineStr"/>
      <c r="AA15" t="inlineStr"/>
    </row>
    <row r="16">
      <c r="A16" s="3" t="inlineStr">
        <is>
          <t>Solid-tumor oncology</t>
        </is>
      </c>
      <c r="B16" s="3" t="inlineStr">
        <is>
          <t>NSCLC</t>
        </is>
      </c>
      <c r="C16" s="67" t="inlineStr">
        <is>
          <t>Bristol Myers Squibb</t>
        </is>
      </c>
      <c r="D16" s="3" t="inlineStr">
        <is>
          <t>nivolumab + relatlimab HD</t>
        </is>
      </c>
      <c r="E16" s="3" t="inlineStr">
        <is>
          <t>Phase III</t>
        </is>
      </c>
      <c r="F16" s="3" t="inlineStr">
        <is>
          <t>PD-1 plus LAG-3 immuno-oncology combination</t>
        </is>
      </c>
      <c r="G16" s="9" t="inlineStr">
        <is>
          <t>NCT06561386</t>
        </is>
      </c>
      <c r="H16" s="9" t="inlineStr">
        <is>
          <t>RELATIVITY-1093</t>
        </is>
      </c>
      <c r="I16" s="3" t="inlineStr">
        <is>
          <t>Stage IV/recurrent nonsquamous NSCLC, PD-L1 &gt;=1%</t>
        </is>
      </c>
      <c r="J16" s="9" t="inlineStr">
        <is>
          <t>First-line; nivolumab-relatlimab fixed dose plus chemotherapy</t>
        </is>
      </c>
      <c r="K16" s="64" t="n">
        <v>47694</v>
      </c>
      <c r="L16" s="3">
        <f>YEAR(K16)</f>
        <v/>
      </c>
      <c r="M16" s="65" t="n">
        <v>1</v>
      </c>
      <c r="N16" s="65" t="n">
        <v>2</v>
      </c>
      <c r="O16" s="3">
        <f>IF(OR(L16="",M16=""),"",L16+M16)</f>
        <v/>
      </c>
      <c r="P16" s="3">
        <f>IF(OR(L16="",N16=""),"",L16+N16)</f>
        <v/>
      </c>
      <c r="Q16" s="3">
        <f>IF(O16="","Not estimated",TEXT(O16,"0")&amp;"-"&amp;TEXT(P16,"0"))</f>
        <v/>
      </c>
      <c r="R16" s="66" t="inlineStr">
        <is>
          <t>Not launched - no historical sales</t>
        </is>
      </c>
      <c r="S16" s="3" t="inlineStr">
        <is>
          <t>NSCLC_TAGRISSO_2025; NSCLC_OPDIVO_2025</t>
        </is>
      </c>
      <c r="T16" s="9" t="inlineStr">
        <is>
          <t>https://clinicaltrials.gov/study/NCT06561386</t>
        </is>
      </c>
      <c r="U16" s="9" t="inlineStr">
        <is>
          <t>https://annual-report.bms.com/assets/bms-ar/documents/2025/2025-bms-development-portfolio.pdf</t>
        </is>
      </c>
      <c r="V16" s="3" t="inlineStr">
        <is>
          <t>Potential label expansion of an approved combination; counted here as an investigational program in the matched snapshot.</t>
        </is>
      </c>
      <c r="W16" t="inlineStr">
        <is>
          <t>Opdualag</t>
        </is>
      </c>
      <c r="X16" t="inlineStr">
        <is>
          <t>Related marketed fixed-dose combination: nivolumab + relatlimab</t>
        </is>
      </c>
      <c r="Y16" t="inlineStr">
        <is>
          <t>Higher-dose / chemotherapy regimen remains investigational</t>
        </is>
      </c>
      <c r="Z16" t="inlineStr">
        <is>
          <t>OPDUALAG | OPDIVO_FRANCHISE</t>
        </is>
      </c>
      <c r="AA16" t="inlineStr">
        <is>
          <t>https://www.sec.gov/Archives/edgar/data/14272/000001427226000004/bmy-20251231.htm</t>
        </is>
      </c>
    </row>
    <row r="17">
      <c r="A17" s="3" t="inlineStr">
        <is>
          <t>Solid-tumor oncology</t>
        </is>
      </c>
      <c r="B17" s="3" t="inlineStr">
        <is>
          <t>NSCLC</t>
        </is>
      </c>
      <c r="C17" s="67" t="inlineStr">
        <is>
          <t>Bristol Myers Squibb</t>
        </is>
      </c>
      <c r="D17" s="3" t="inlineStr">
        <is>
          <t>pumitamig</t>
        </is>
      </c>
      <c r="E17" s="3" t="inlineStr">
        <is>
          <t>Phase III</t>
        </is>
      </c>
      <c r="F17" s="3" t="inlineStr">
        <is>
          <t>PD-L1 x VEGF-A bispecific antibody</t>
        </is>
      </c>
      <c r="G17" s="9" t="inlineStr">
        <is>
          <t>NCT07361510</t>
        </is>
      </c>
      <c r="H17" s="9" t="inlineStr">
        <is>
          <t>ROSETTA Lung-202</t>
        </is>
      </c>
      <c r="I17" s="3" t="inlineStr">
        <is>
          <t>Advanced NSCLC, PD-L1 &gt;=50%</t>
        </is>
      </c>
      <c r="J17" s="9" t="inlineStr">
        <is>
          <t>First-line monotherapy versus pembrolizumab</t>
        </is>
      </c>
      <c r="K17" s="64" t="n">
        <v>48135</v>
      </c>
      <c r="L17" s="3">
        <f>YEAR(K17)</f>
        <v/>
      </c>
      <c r="M17" s="65" t="n">
        <v>1</v>
      </c>
      <c r="N17" s="65" t="n">
        <v>2</v>
      </c>
      <c r="O17" s="3">
        <f>IF(OR(L17="",M17=""),"",L17+M17)</f>
        <v/>
      </c>
      <c r="P17" s="3">
        <f>IF(OR(L17="",N17=""),"",L17+N17)</f>
        <v/>
      </c>
      <c r="Q17" s="3">
        <f>IF(O17="","Not estimated",TEXT(O17,"0")&amp;"-"&amp;TEXT(P17,"0"))</f>
        <v/>
      </c>
      <c r="R17" s="66" t="inlineStr">
        <is>
          <t>Not launched - no historical sales</t>
        </is>
      </c>
      <c r="S17" s="3" t="inlineStr">
        <is>
          <t>NSCLC_TAGRISSO_2025; NSCLC_OPDIVO_2025</t>
        </is>
      </c>
      <c r="T17" s="9" t="inlineStr">
        <is>
          <t>https://clinicaltrials.gov/study/NCT07361510</t>
        </is>
      </c>
      <c r="U17" s="9" t="inlineStr">
        <is>
          <t>https://annual-report.bms.com/assets/bms-ar/documents/2025/2025-bms-development-portfolio.pdf</t>
        </is>
      </c>
      <c r="V17" s="3" t="inlineStr">
        <is>
          <t>Representative Phase III study; later timing reflects the currently posted trial schedule.</t>
        </is>
      </c>
      <c r="W17" t="inlineStr"/>
      <c r="X17" t="inlineStr"/>
      <c r="Y17" t="inlineStr"/>
      <c r="Z17" t="inlineStr"/>
      <c r="AA17" t="inlineStr"/>
    </row>
    <row r="18">
      <c r="A18" s="3" t="inlineStr">
        <is>
          <t>Solid-tumor oncology</t>
        </is>
      </c>
      <c r="B18" s="3" t="inlineStr">
        <is>
          <t>Prostate cancer</t>
        </is>
      </c>
      <c r="C18" s="63" t="inlineStr">
        <is>
          <t>AstraZeneca</t>
        </is>
      </c>
      <c r="D18" s="3" t="inlineStr">
        <is>
          <t>FPI-2265</t>
        </is>
      </c>
      <c r="E18" s="3" t="inlineStr">
        <is>
          <t>Phase II</t>
        </is>
      </c>
      <c r="F18" s="3" t="inlineStr">
        <is>
          <t>PSMA-targeted actinium radioconjugate</t>
        </is>
      </c>
      <c r="G18" s="9" t="inlineStr">
        <is>
          <t>NCT06402331</t>
        </is>
      </c>
      <c r="H18" s="9" t="inlineStr">
        <is>
          <t>AlphaBreak</t>
        </is>
      </c>
      <c r="I18" s="3" t="inlineStr">
        <is>
          <t>PSMA-positive metastatic castration-resistant prostate cancer</t>
        </is>
      </c>
      <c r="J18" s="9" t="inlineStr">
        <is>
          <t>Post-lutetium PSMA radioligand therapy; dose optimization</t>
        </is>
      </c>
      <c r="K18" s="64" t="n">
        <v>46379</v>
      </c>
      <c r="L18" s="3">
        <f>YEAR(K18)</f>
        <v/>
      </c>
      <c r="M18" s="65" t="n">
        <v>3</v>
      </c>
      <c r="N18" s="65" t="n">
        <v>5</v>
      </c>
      <c r="O18" s="3">
        <f>IF(OR(L18="",M18=""),"",L18+M18)</f>
        <v/>
      </c>
      <c r="P18" s="3">
        <f>IF(OR(L18="",N18=""),"",L18+N18)</f>
        <v/>
      </c>
      <c r="Q18" s="3">
        <f>IF(O18="","Not estimated",TEXT(O18,"0")&amp;"-"&amp;TEXT(P18,"0"))</f>
        <v/>
      </c>
      <c r="R18" s="66" t="inlineStr">
        <is>
          <t>Not launched - no historical sales</t>
        </is>
      </c>
      <c r="S18" s="3" t="inlineStr"/>
      <c r="T18" s="9" t="inlineStr">
        <is>
          <t>https://clinicaltrials.gov/study/NCT06402331</t>
        </is>
      </c>
      <c r="U18" s="9" t="inlineStr">
        <is>
          <t>https://www.astrazeneca.com/content/dam/az/Investor_Relations/annual-report-2025/pdf/AstraZeneca_Development_Pipeline_2025.pdf</t>
        </is>
      </c>
      <c r="V18" s="3" t="inlineStr">
        <is>
          <t>Phase II; additional combination work is underway.</t>
        </is>
      </c>
      <c r="W18" t="inlineStr"/>
      <c r="X18" t="inlineStr"/>
      <c r="Y18" t="inlineStr"/>
      <c r="Z18" t="inlineStr"/>
      <c r="AA18" t="inlineStr"/>
    </row>
    <row r="19">
      <c r="A19" s="3" t="inlineStr">
        <is>
          <t>Solid-tumor oncology</t>
        </is>
      </c>
      <c r="B19" s="3" t="inlineStr">
        <is>
          <t>Prostate cancer</t>
        </is>
      </c>
      <c r="C19" s="63" t="inlineStr">
        <is>
          <t>AstraZeneca</t>
        </is>
      </c>
      <c r="D19" s="3" t="inlineStr">
        <is>
          <t>saruparib</t>
        </is>
      </c>
      <c r="E19" s="3" t="inlineStr">
        <is>
          <t>Phase III</t>
        </is>
      </c>
      <c r="F19" s="3" t="inlineStr">
        <is>
          <t>PARP1 inhibitor</t>
        </is>
      </c>
      <c r="G19" s="9" t="inlineStr">
        <is>
          <t>NCT06120491</t>
        </is>
      </c>
      <c r="H19" s="9" t="inlineStr">
        <is>
          <t>EvoPAR-Prostate01</t>
        </is>
      </c>
      <c r="I19" s="3" t="inlineStr">
        <is>
          <t>Metastatic castration-sensitive prostate cancer</t>
        </is>
      </c>
      <c r="J19" s="9" t="inlineStr">
        <is>
          <t>First-line metastatic setting; with physician-choice new hormonal agent</t>
        </is>
      </c>
      <c r="K19" s="64" t="n">
        <v>46660</v>
      </c>
      <c r="L19" s="3">
        <f>YEAR(K19)</f>
        <v/>
      </c>
      <c r="M19" s="65" t="n">
        <v>1</v>
      </c>
      <c r="N19" s="65" t="n">
        <v>2</v>
      </c>
      <c r="O19" s="3">
        <f>IF(OR(L19="",M19=""),"",L19+M19)</f>
        <v/>
      </c>
      <c r="P19" s="3">
        <f>IF(OR(L19="",N19=""),"",L19+N19)</f>
        <v/>
      </c>
      <c r="Q19" s="3">
        <f>IF(O19="","Not estimated",TEXT(O19,"0")&amp;"-"&amp;TEXT(P19,"0"))</f>
        <v/>
      </c>
      <c r="R19" s="66" t="inlineStr">
        <is>
          <t>Not launched - no historical sales</t>
        </is>
      </c>
      <c r="S19" s="3" t="inlineStr"/>
      <c r="T19" s="9" t="inlineStr">
        <is>
          <t>https://clinicaltrials.gov/study/NCT06120491</t>
        </is>
      </c>
      <c r="U19" s="9" t="inlineStr">
        <is>
          <t>https://www.astrazeneca.com/content/dam/az/Investor_Relations/annual-report-2025/pdf/AstraZeneca_Development_Pipeline_2025.pdf</t>
        </is>
      </c>
      <c r="V19" s="3" t="inlineStr">
        <is>
          <t>Representative Phase III prostate study.</t>
        </is>
      </c>
      <c r="W19" t="inlineStr"/>
      <c r="X19" t="inlineStr"/>
      <c r="Y19" t="inlineStr"/>
      <c r="Z19" t="inlineStr"/>
      <c r="AA19" t="inlineStr"/>
    </row>
    <row r="20">
      <c r="A20" s="3" t="inlineStr">
        <is>
          <t>Solid-tumor oncology</t>
        </is>
      </c>
      <c r="B20" s="3" t="inlineStr">
        <is>
          <t>Prostate cancer</t>
        </is>
      </c>
      <c r="C20" s="67" t="inlineStr">
        <is>
          <t>Bristol Myers Squibb</t>
        </is>
      </c>
      <c r="D20" s="3" t="inlineStr">
        <is>
          <t>AR ligand-directed degrader</t>
        </is>
      </c>
      <c r="E20" s="3" t="inlineStr">
        <is>
          <t>Phase III</t>
        </is>
      </c>
      <c r="F20" s="3" t="inlineStr">
        <is>
          <t>Androgen receptor ligand-directed degrader</t>
        </is>
      </c>
      <c r="G20" s="9" t="inlineStr">
        <is>
          <t>NCT06764485</t>
        </is>
      </c>
      <c r="H20" s="9" t="inlineStr">
        <is>
          <t>rechARge</t>
        </is>
      </c>
      <c r="I20" s="3" t="inlineStr">
        <is>
          <t>Metastatic castration-resistant prostate cancer</t>
        </is>
      </c>
      <c r="J20" s="9" t="inlineStr">
        <is>
          <t>After prior androgen-receptor pathway inhibitor; versus docetaxel or second ARPI</t>
        </is>
      </c>
      <c r="K20" s="64" t="n">
        <v>46642</v>
      </c>
      <c r="L20" s="3">
        <f>YEAR(K20)</f>
        <v/>
      </c>
      <c r="M20" s="65" t="n">
        <v>1</v>
      </c>
      <c r="N20" s="65" t="n">
        <v>2</v>
      </c>
      <c r="O20" s="3">
        <f>IF(OR(L20="",M20=""),"",L20+M20)</f>
        <v/>
      </c>
      <c r="P20" s="3">
        <f>IF(OR(L20="",N20=""),"",L20+N20)</f>
        <v/>
      </c>
      <c r="Q20" s="3">
        <f>IF(O20="","Not estimated",TEXT(O20,"0")&amp;"-"&amp;TEXT(P20,"0"))</f>
        <v/>
      </c>
      <c r="R20" s="66" t="inlineStr">
        <is>
          <t>Not launched - no historical sales</t>
        </is>
      </c>
      <c r="S20" s="3" t="inlineStr"/>
      <c r="T20" s="9" t="inlineStr">
        <is>
          <t>https://clinicaltrials.gov/study/NCT06764485</t>
        </is>
      </c>
      <c r="U20" s="9" t="inlineStr">
        <is>
          <t>https://annual-report.bms.com/assets/bms-ar/documents/2025/2025-bms-development-portfolio.pdf</t>
        </is>
      </c>
      <c r="V20" s="3" t="inlineStr">
        <is>
          <t>Program is also known as BMS-986365.</t>
        </is>
      </c>
      <c r="W20" t="inlineStr"/>
      <c r="X20" t="inlineStr"/>
      <c r="Y20" t="inlineStr"/>
      <c r="Z20" t="inlineStr"/>
      <c r="AA20" t="inlineStr"/>
    </row>
  </sheetData>
  <pageMargins left="0.7" right="0.7" top="0.75" bottom="0.75" header="0.3" footer="0.3"/>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O7"/>
  <sheetViews>
    <sheetView showGridLines="0" workbookViewId="0">
      <selection activeCell="A1" sqref="A1"/>
    </sheetView>
  </sheetViews>
  <sheetFormatPr baseColWidth="8" defaultRowHeight="15"/>
  <cols>
    <col width="28" customWidth="1" min="1" max="1"/>
    <col width="24" customWidth="1" min="2" max="2"/>
    <col width="20" customWidth="1" min="3" max="3"/>
    <col width="20" customWidth="1" min="4" max="4"/>
    <col width="22" customWidth="1" min="5" max="5"/>
    <col width="10" customWidth="1" min="6" max="6"/>
    <col width="18" customWidth="1" min="7" max="7"/>
    <col width="24" customWidth="1" min="8" max="8"/>
    <col width="18" customWidth="1" min="9" max="9"/>
    <col width="22" customWidth="1" min="10" max="10"/>
    <col width="22" customWidth="1" min="11" max="11"/>
    <col width="32" customWidth="1" min="12" max="12"/>
    <col width="42" customWidth="1" min="13" max="13"/>
    <col width="48" customWidth="1" min="14" max="14"/>
    <col width="52" customWidth="1" min="15" max="15"/>
  </cols>
  <sheetData>
    <row r="1" ht="44" customHeight="1">
      <c r="A1" s="62" t="inlineStr">
        <is>
          <t>Benchmark ID</t>
        </is>
      </c>
      <c r="B1" s="62" t="inlineStr">
        <is>
          <t>Disease area</t>
        </is>
      </c>
      <c r="C1" s="62" t="inlineStr">
        <is>
          <t>Overlap indication</t>
        </is>
      </c>
      <c r="D1" s="62" t="inlineStr">
        <is>
          <t>Product</t>
        </is>
      </c>
      <c r="E1" s="62" t="inlineStr">
        <is>
          <t>Company</t>
        </is>
      </c>
      <c r="F1" s="62" t="inlineStr">
        <is>
          <t>Year</t>
        </is>
      </c>
      <c r="G1" s="62" t="inlineStr">
        <is>
          <t>US revenue ($m)</t>
        </is>
      </c>
      <c r="H1" s="62" t="inlineStr">
        <is>
          <t>Emerging Markets revenue ($m)</t>
        </is>
      </c>
      <c r="I1" s="62" t="inlineStr">
        <is>
          <t>Europe revenue ($m)</t>
        </is>
      </c>
      <c r="J1" s="62" t="inlineStr">
        <is>
          <t>Established ROW revenue ($m)</t>
        </is>
      </c>
      <c r="K1" s="62" t="inlineStr">
        <is>
          <t>Worldwide revenue ($m)</t>
        </is>
      </c>
      <c r="L1" s="62" t="inlineStr">
        <is>
          <t>Sales basis</t>
        </is>
      </c>
      <c r="M1" s="62" t="inlineStr">
        <is>
          <t>Relevance</t>
        </is>
      </c>
      <c r="N1" s="62" t="inlineStr">
        <is>
          <t>Limitations</t>
        </is>
      </c>
      <c r="O1" s="62" t="inlineStr">
        <is>
          <t>Source URL</t>
        </is>
      </c>
    </row>
    <row r="2">
      <c r="A2" s="3" t="inlineStr">
        <is>
          <t>NSCLC_TAGRISSO_2025</t>
        </is>
      </c>
      <c r="B2" s="3" t="inlineStr">
        <is>
          <t>Solid-tumor oncology</t>
        </is>
      </c>
      <c r="C2" s="3" t="inlineStr">
        <is>
          <t>NSCLC</t>
        </is>
      </c>
      <c r="D2" s="3" t="inlineStr">
        <is>
          <t>Tagrisso</t>
        </is>
      </c>
      <c r="E2" s="63" t="inlineStr">
        <is>
          <t>AstraZeneca</t>
        </is>
      </c>
      <c r="F2" s="3" t="n">
        <v>2025</v>
      </c>
      <c r="G2" s="68" t="n">
        <v>3064</v>
      </c>
      <c r="H2" s="68" t="n">
        <v>1971</v>
      </c>
      <c r="I2" s="68" t="n">
        <v>1423</v>
      </c>
      <c r="J2" s="68" t="n">
        <v>796</v>
      </c>
      <c r="K2" s="68">
        <f>SUM(G2:J2)</f>
        <v/>
      </c>
      <c r="L2" s="3" t="inlineStr">
        <is>
          <t>2025 product sales; calculated from company-reported regions</t>
        </is>
      </c>
      <c r="M2" s="3" t="inlineStr">
        <is>
          <t>Commercial scale benchmark for a leading NSCLC franchise.</t>
        </is>
      </c>
      <c r="N2" s="3" t="inlineStr">
        <is>
          <t>Worldwide brand revenue across approved indications; not a forecast and not specific to the overlapping programs.</t>
        </is>
      </c>
      <c r="O2" s="9" t="inlineStr">
        <is>
          <t>https://www.sec.gov/Archives/edgar/data/901832/000110465926019130/azn-20251231x20f.htm</t>
        </is>
      </c>
    </row>
    <row r="3">
      <c r="A3" s="3" t="inlineStr">
        <is>
          <t>NSCLC_OPDIVO_2025</t>
        </is>
      </c>
      <c r="B3" s="3" t="inlineStr">
        <is>
          <t>Solid-tumor oncology</t>
        </is>
      </c>
      <c r="C3" s="3" t="inlineStr">
        <is>
          <t>NSCLC</t>
        </is>
      </c>
      <c r="D3" s="3" t="inlineStr">
        <is>
          <t>Opdivo</t>
        </is>
      </c>
      <c r="E3" s="67" t="inlineStr">
        <is>
          <t>Bristol Myers Squibb</t>
        </is>
      </c>
      <c r="F3" s="3" t="n">
        <v>2025</v>
      </c>
      <c r="G3" s="68" t="n"/>
      <c r="H3" s="68" t="n"/>
      <c r="I3" s="68" t="n"/>
      <c r="J3" s="68" t="n"/>
      <c r="K3" s="68" t="n">
        <v>10000</v>
      </c>
      <c r="L3" s="3" t="inlineStr">
        <is>
          <t>2025 worldwide revenue</t>
        </is>
      </c>
      <c r="M3" s="3" t="inlineStr">
        <is>
          <t>Commercial scale benchmark for BMS immuno-oncology.</t>
        </is>
      </c>
      <c r="N3" s="3" t="inlineStr">
        <is>
          <t>All approved indications, not NSCLC-specific; used as a scale benchmark rather than a direct analogue.</t>
        </is>
      </c>
      <c r="O3" s="9" t="inlineStr">
        <is>
          <t>https://www.bms.com/investors/financial-reporting/key-facts.html</t>
        </is>
      </c>
    </row>
    <row r="4">
      <c r="A4" s="3" t="inlineStr">
        <is>
          <t>MM_REVLIMID_2021</t>
        </is>
      </c>
      <c r="B4" s="3" t="inlineStr">
        <is>
          <t>Hematology</t>
        </is>
      </c>
      <c r="C4" s="3" t="inlineStr">
        <is>
          <t>Multiple myeloma</t>
        </is>
      </c>
      <c r="D4" s="3" t="inlineStr">
        <is>
          <t>Revlimid</t>
        </is>
      </c>
      <c r="E4" s="67" t="inlineStr">
        <is>
          <t>Bristol Myers Squibb</t>
        </is>
      </c>
      <c r="F4" s="3" t="n">
        <v>2021</v>
      </c>
      <c r="G4" s="68" t="n"/>
      <c r="H4" s="68" t="n"/>
      <c r="I4" s="68" t="n"/>
      <c r="J4" s="68" t="n"/>
      <c r="K4" s="68" t="n">
        <v>12821</v>
      </c>
      <c r="L4" s="3" t="inlineStr">
        <is>
          <t>2021 worldwide revenue; historical high-water benchmark</t>
        </is>
      </c>
      <c r="M4" s="3" t="inlineStr">
        <is>
          <t>Illustrates the historic commercial scale of the multiple-myeloma franchise.</t>
        </is>
      </c>
      <c r="N4" s="3" t="inlineStr">
        <is>
          <t>Brand revenue across indications; historical revenue does not predict future asset sales.</t>
        </is>
      </c>
      <c r="O4" s="9" t="inlineStr">
        <is>
          <t>https://news.bms.com/news/details/2022/Bristol-Myers-Squibb-Reports-Fourth-Quarter-and-Full-Year-Financial-Results-for-2021/default.aspx</t>
        </is>
      </c>
    </row>
    <row r="5">
      <c r="A5" s="3" t="inlineStr">
        <is>
          <t>MM_POMALYST_2021</t>
        </is>
      </c>
      <c r="B5" s="3" t="inlineStr">
        <is>
          <t>Hematology</t>
        </is>
      </c>
      <c r="C5" s="3" t="inlineStr">
        <is>
          <t>Multiple myeloma</t>
        </is>
      </c>
      <c r="D5" s="3" t="inlineStr">
        <is>
          <t>Pomalyst / Imnovid</t>
        </is>
      </c>
      <c r="E5" s="67" t="inlineStr">
        <is>
          <t>Bristol Myers Squibb</t>
        </is>
      </c>
      <c r="F5" s="3" t="n">
        <v>2021</v>
      </c>
      <c r="G5" s="68" t="n"/>
      <c r="H5" s="68" t="n"/>
      <c r="I5" s="68" t="n"/>
      <c r="J5" s="68" t="n"/>
      <c r="K5" s="68" t="n">
        <v>3332</v>
      </c>
      <c r="L5" s="3" t="inlineStr">
        <is>
          <t>2021 worldwide revenue</t>
        </is>
      </c>
      <c r="M5" s="3" t="inlineStr">
        <is>
          <t>Additional multiple-myeloma commercial benchmark.</t>
        </is>
      </c>
      <c r="N5" s="3" t="inlineStr">
        <is>
          <t>Brand revenue across indications; not a forecast.</t>
        </is>
      </c>
      <c r="O5" s="9" t="inlineStr">
        <is>
          <t>https://news.bms.com/news/details/2022/Bristol-Myers-Squibb-Reports-Fourth-Quarter-and-Full-Year-Financial-Results-for-2021/default.aspx</t>
        </is>
      </c>
    </row>
    <row r="6">
      <c r="A6" s="3" t="inlineStr">
        <is>
          <t>LYMPHOMA_BREYANZI_2025</t>
        </is>
      </c>
      <c r="B6" s="3" t="inlineStr">
        <is>
          <t>Hematology</t>
        </is>
      </c>
      <c r="C6" s="3" t="inlineStr">
        <is>
          <t>B-cell lymphoma</t>
        </is>
      </c>
      <c r="D6" s="3" t="inlineStr">
        <is>
          <t>Breyanzi</t>
        </is>
      </c>
      <c r="E6" s="67" t="inlineStr">
        <is>
          <t>Bristol Myers Squibb</t>
        </is>
      </c>
      <c r="F6" s="3" t="n">
        <v>2025</v>
      </c>
      <c r="G6" s="68" t="n"/>
      <c r="H6" s="68" t="n"/>
      <c r="I6" s="68" t="n"/>
      <c r="J6" s="68" t="n"/>
      <c r="K6" s="68" t="n">
        <v>1400</v>
      </c>
      <c r="L6" s="3" t="inlineStr">
        <is>
          <t>2025 worldwide revenue</t>
        </is>
      </c>
      <c r="M6" s="3" t="inlineStr">
        <is>
          <t>Commercial benchmark for an established B-cell lymphoma cell-therapy franchise.</t>
        </is>
      </c>
      <c r="N6" s="3" t="inlineStr">
        <is>
          <t>All approved indications; not a direct modality match for every program.</t>
        </is>
      </c>
      <c r="O6" s="9" t="inlineStr">
        <is>
          <t>https://www.bms.com/investors/financial-reporting/key-facts.html</t>
        </is>
      </c>
    </row>
    <row r="7">
      <c r="A7" s="3" t="inlineStr">
        <is>
          <t>HF_CAMZYOS_2025</t>
        </is>
      </c>
      <c r="B7" s="3" t="inlineStr">
        <is>
          <t>Cardiovascular</t>
        </is>
      </c>
      <c r="C7" s="3" t="inlineStr">
        <is>
          <t>Heart failure</t>
        </is>
      </c>
      <c r="D7" s="3" t="inlineStr">
        <is>
          <t>Camzyos</t>
        </is>
      </c>
      <c r="E7" s="67" t="inlineStr">
        <is>
          <t>Bristol Myers Squibb</t>
        </is>
      </c>
      <c r="F7" s="3" t="n">
        <v>2025</v>
      </c>
      <c r="G7" s="68" t="n"/>
      <c r="H7" s="68" t="n"/>
      <c r="I7" s="68" t="n"/>
      <c r="J7" s="68" t="n"/>
      <c r="K7" s="68" t="n">
        <v>1100</v>
      </c>
      <c r="L7" s="3" t="inlineStr">
        <is>
          <t>2025 worldwide revenue</t>
        </is>
      </c>
      <c r="M7" s="3" t="inlineStr">
        <is>
          <t>Commercial benchmark for a cardiac-myosin franchise.</t>
        </is>
      </c>
      <c r="N7" s="3" t="inlineStr">
        <is>
          <t>Approved for obstructive hypertrophic cardiomyopathy, not HFpEF; included only as modality/franchise context.</t>
        </is>
      </c>
      <c r="O7" s="9" t="inlineStr">
        <is>
          <t>https://www.bms.com/investors/financial-reporting/key-facts.html</t>
        </is>
      </c>
    </row>
  </sheetData>
  <pageMargins left="0.7" right="0.7" top="0.75" bottom="0.75" header="0.3" footer="0.3"/>
  <tableParts count="1">
    <tablePart xmlns:r="http://schemas.openxmlformats.org/officeDocument/2006/relationships" r:id="rId1"/>
  </tableParts>
</worksheet>
</file>

<file path=xl/worksheets/sheet16.xml><?xml version="1.0" encoding="utf-8"?>
<worksheet xmlns="http://schemas.openxmlformats.org/spreadsheetml/2006/main">
  <sheetPr>
    <outlinePr summaryBelow="1" summaryRight="1"/>
    <pageSetUpPr/>
  </sheetPr>
  <dimension ref="A1:J33"/>
  <sheetViews>
    <sheetView showGridLines="0" workbookViewId="0">
      <selection activeCell="A1" sqref="A1"/>
    </sheetView>
  </sheetViews>
  <sheetFormatPr baseColWidth="8" defaultRowHeight="15"/>
  <cols>
    <col width="42" customWidth="1" min="1" max="1"/>
    <col width="30" customWidth="1" min="2" max="2"/>
    <col width="24" customWidth="1" min="3" max="3"/>
    <col width="28" customWidth="1" min="4" max="4"/>
    <col width="16" customWidth="1" min="5" max="5"/>
    <col width="14" customWidth="1" min="6" max="6"/>
    <col width="14" customWidth="1" min="7" max="7"/>
    <col width="14" customWidth="1" min="8" max="8"/>
    <col width="22" customWidth="1" min="9" max="9"/>
    <col width="48" customWidth="1" min="10" max="10"/>
  </cols>
  <sheetData>
    <row r="1">
      <c r="A1" s="62" t="inlineStr">
        <is>
          <t>Cell ID</t>
        </is>
      </c>
      <c r="B1" s="62" t="inlineStr">
        <is>
          <t>Disease area</t>
        </is>
      </c>
      <c r="C1" s="62" t="inlineStr">
        <is>
          <t>Plot label</t>
        </is>
      </c>
      <c r="D1" s="62" t="inlineStr">
        <is>
          <t>Factor</t>
        </is>
      </c>
      <c r="E1" s="62" t="inlineStr">
        <is>
          <t>Overlap count</t>
        </is>
      </c>
      <c r="F1" s="62" t="inlineStr">
        <is>
          <t>Directness</t>
        </is>
      </c>
      <c r="G1" s="62" t="inlineStr">
        <is>
          <t>AZ programs</t>
        </is>
      </c>
      <c r="H1" s="62" t="inlineStr">
        <is>
          <t>BMS programs</t>
        </is>
      </c>
      <c r="I1" s="62" t="inlineStr">
        <is>
          <t>Relationship</t>
        </is>
      </c>
      <c r="J1" s="62" t="inlineStr">
        <is>
          <t>Overlap units</t>
        </is>
      </c>
    </row>
    <row r="2">
      <c r="A2" s="3" t="inlineStr">
        <is>
          <t>solid-tumor-oncology--shared-indications</t>
        </is>
      </c>
      <c r="B2" s="3" t="inlineStr">
        <is>
          <t>Solid-tumor oncology</t>
        </is>
      </c>
      <c r="C2" s="3" t="inlineStr">
        <is>
          <t>Solid tumors</t>
        </is>
      </c>
      <c r="D2" s="3" t="inlineStr">
        <is>
          <t>Shared indications</t>
        </is>
      </c>
      <c r="E2" s="66" t="n">
        <v>2</v>
      </c>
      <c r="F2" s="3" t="n">
        <v>3</v>
      </c>
      <c r="G2" s="3" t="n">
        <v>11</v>
      </c>
      <c r="H2" s="3" t="n">
        <v>7</v>
      </c>
      <c r="I2" s="3" t="inlineStr">
        <is>
          <t>Strong collision</t>
        </is>
      </c>
      <c r="J2" s="3" t="inlineStr">
        <is>
          <t>NSCLC; Prostate cancer</t>
        </is>
      </c>
    </row>
    <row r="3">
      <c r="A3" s="3" t="inlineStr">
        <is>
          <t>solid-tumor-oncology--shared-modalities</t>
        </is>
      </c>
      <c r="B3" s="3" t="inlineStr">
        <is>
          <t>Solid-tumor oncology</t>
        </is>
      </c>
      <c r="C3" s="3" t="inlineStr">
        <is>
          <t>Solid tumors</t>
        </is>
      </c>
      <c r="D3" s="3" t="inlineStr">
        <is>
          <t>Shared modalities</t>
        </is>
      </c>
      <c r="E3" s="66" t="n">
        <v>4</v>
      </c>
      <c r="F3" s="3" t="n">
        <v>3</v>
      </c>
      <c r="G3" s="3" t="n">
        <v>11</v>
      </c>
      <c r="H3" s="3" t="n">
        <v>7</v>
      </c>
      <c r="I3" s="3" t="inlineStr">
        <is>
          <t>Strong collision</t>
        </is>
      </c>
      <c r="J3" s="3" t="inlineStr">
        <is>
          <t>Small-molecule targeted therapy; Bispecific / dual-target biologics; Antibody-drug conjugates; Radiopharmaceuticals</t>
        </is>
      </c>
    </row>
    <row r="4">
      <c r="A4" s="3" t="inlineStr">
        <is>
          <t>solid-tumor-oncology--shared-target-mechanism</t>
        </is>
      </c>
      <c r="B4" s="3" t="inlineStr">
        <is>
          <t>Solid-tumor oncology</t>
        </is>
      </c>
      <c r="C4" s="3" t="inlineStr">
        <is>
          <t>Solid tumors</t>
        </is>
      </c>
      <c r="D4" s="3" t="inlineStr">
        <is>
          <t>Shared target / mechanism</t>
        </is>
      </c>
      <c r="E4" s="66" t="n">
        <v>2</v>
      </c>
      <c r="F4" s="3" t="n">
        <v>3</v>
      </c>
      <c r="G4" s="3" t="n">
        <v>11</v>
      </c>
      <c r="H4" s="3" t="n">
        <v>7</v>
      </c>
      <c r="I4" s="3" t="inlineStr">
        <is>
          <t>Strong collision</t>
        </is>
      </c>
      <c r="J4" s="3" t="inlineStr">
        <is>
          <t>PD-(L)1-based immuno-oncology; EGFR-directed therapeutics</t>
        </is>
      </c>
    </row>
    <row r="5">
      <c r="A5" s="3" t="inlineStr">
        <is>
          <t>solid-tumor-oncology--stage-alignment</t>
        </is>
      </c>
      <c r="B5" s="3" t="inlineStr">
        <is>
          <t>Solid-tumor oncology</t>
        </is>
      </c>
      <c r="C5" s="3" t="inlineStr">
        <is>
          <t>Solid tumors</t>
        </is>
      </c>
      <c r="D5" s="3" t="inlineStr">
        <is>
          <t>Stage alignment</t>
        </is>
      </c>
      <c r="E5" s="66" t="n">
        <v>2</v>
      </c>
      <c r="F5" s="3" t="n">
        <v>3</v>
      </c>
      <c r="G5" s="3" t="n">
        <v>11</v>
      </c>
      <c r="H5" s="3" t="n">
        <v>7</v>
      </c>
      <c r="I5" s="3" t="inlineStr">
        <is>
          <t>Strong collision</t>
        </is>
      </c>
      <c r="J5" s="3" t="inlineStr">
        <is>
          <t>Phase II; Phase III / registration</t>
        </is>
      </c>
    </row>
    <row r="6">
      <c r="A6" s="3" t="inlineStr">
        <is>
          <t>hematology--shared-indications</t>
        </is>
      </c>
      <c r="B6" s="3" t="inlineStr">
        <is>
          <t>Hematology</t>
        </is>
      </c>
      <c r="C6" s="3" t="inlineStr">
        <is>
          <t>Hematology</t>
        </is>
      </c>
      <c r="D6" s="3" t="inlineStr">
        <is>
          <t>Shared indications</t>
        </is>
      </c>
      <c r="E6" s="66" t="n">
        <v>2</v>
      </c>
      <c r="F6" s="3" t="n">
        <v>3</v>
      </c>
      <c r="G6" s="3" t="n">
        <v>4</v>
      </c>
      <c r="H6" s="3" t="n">
        <v>4</v>
      </c>
      <c r="I6" s="3" t="inlineStr">
        <is>
          <t>Strong collision</t>
        </is>
      </c>
      <c r="J6" s="3" t="inlineStr">
        <is>
          <t>Multiple myeloma; B-cell lymphoma</t>
        </is>
      </c>
    </row>
    <row r="7">
      <c r="A7" s="3" t="inlineStr">
        <is>
          <t>hematology--shared-modalities</t>
        </is>
      </c>
      <c r="B7" s="3" t="inlineStr">
        <is>
          <t>Hematology</t>
        </is>
      </c>
      <c r="C7" s="3" t="inlineStr">
        <is>
          <t>Hematology</t>
        </is>
      </c>
      <c r="D7" s="3" t="inlineStr">
        <is>
          <t>Shared modalities</t>
        </is>
      </c>
      <c r="E7" s="66" t="n">
        <v>2</v>
      </c>
      <c r="F7" s="3" t="n">
        <v>3</v>
      </c>
      <c r="G7" s="3" t="n">
        <v>4</v>
      </c>
      <c r="H7" s="3" t="n">
        <v>4</v>
      </c>
      <c r="I7" s="3" t="inlineStr">
        <is>
          <t>Strong collision</t>
        </is>
      </c>
      <c r="J7" s="3" t="inlineStr">
        <is>
          <t>Cell therapy / CAR-T; Small-molecule targeted therapy</t>
        </is>
      </c>
    </row>
    <row r="8">
      <c r="A8" s="3" t="inlineStr">
        <is>
          <t>hematology--shared-target-mechanism</t>
        </is>
      </c>
      <c r="B8" s="3" t="inlineStr">
        <is>
          <t>Hematology</t>
        </is>
      </c>
      <c r="C8" s="3" t="inlineStr">
        <is>
          <t>Hematology</t>
        </is>
      </c>
      <c r="D8" s="3" t="inlineStr">
        <is>
          <t>Shared target / mechanism</t>
        </is>
      </c>
      <c r="E8" s="66" t="n">
        <v>1</v>
      </c>
      <c r="F8" s="3" t="n">
        <v>3</v>
      </c>
      <c r="G8" s="3" t="n">
        <v>4</v>
      </c>
      <c r="H8" s="3" t="n">
        <v>4</v>
      </c>
      <c r="I8" s="3" t="inlineStr">
        <is>
          <t>Strong collision</t>
        </is>
      </c>
      <c r="J8" s="3" t="inlineStr">
        <is>
          <t>GPRC5D</t>
        </is>
      </c>
    </row>
    <row r="9">
      <c r="A9" s="3" t="inlineStr">
        <is>
          <t>hematology--stage-alignment</t>
        </is>
      </c>
      <c r="B9" s="3" t="inlineStr">
        <is>
          <t>Hematology</t>
        </is>
      </c>
      <c r="C9" s="3" t="inlineStr">
        <is>
          <t>Hematology</t>
        </is>
      </c>
      <c r="D9" s="3" t="inlineStr">
        <is>
          <t>Stage alignment</t>
        </is>
      </c>
      <c r="E9" s="66" t="n">
        <v>1</v>
      </c>
      <c r="F9" s="3" t="n">
        <v>2</v>
      </c>
      <c r="G9" s="3" t="n">
        <v>4</v>
      </c>
      <c r="H9" s="3" t="n">
        <v>4</v>
      </c>
      <c r="I9" s="3" t="inlineStr">
        <is>
          <t>Strong collision</t>
        </is>
      </c>
      <c r="J9" s="3" t="inlineStr">
        <is>
          <t>Phase III / registration</t>
        </is>
      </c>
    </row>
    <row r="10">
      <c r="A10" s="3" t="inlineStr">
        <is>
          <t>immunology-respiratory-and-fibrosis--shared-indications</t>
        </is>
      </c>
      <c r="B10" s="3" t="inlineStr">
        <is>
          <t>Immunology, respiratory &amp; fibrosis</t>
        </is>
      </c>
      <c r="C10" s="3" t="inlineStr">
        <is>
          <t>Immunology / resp. / fibrosis</t>
        </is>
      </c>
      <c r="D10" s="3" t="inlineStr">
        <is>
          <t>Shared indications</t>
        </is>
      </c>
      <c r="E10" s="3" t="n">
        <v>0</v>
      </c>
      <c r="F10" s="3" t="n">
        <v>0</v>
      </c>
      <c r="G10" s="3" t="n">
        <v>7</v>
      </c>
      <c r="H10" s="3" t="n">
        <v>3</v>
      </c>
      <c r="I10" s="3" t="inlineStr">
        <is>
          <t>Platform adjacency</t>
        </is>
      </c>
      <c r="J10" s="3" t="inlineStr"/>
    </row>
    <row r="11">
      <c r="A11" s="3" t="inlineStr">
        <is>
          <t>immunology-respiratory-and-fibrosis--shared-modalities</t>
        </is>
      </c>
      <c r="B11" s="3" t="inlineStr">
        <is>
          <t>Immunology, respiratory &amp; fibrosis</t>
        </is>
      </c>
      <c r="C11" s="3" t="inlineStr">
        <is>
          <t>Immunology / resp. / fibrosis</t>
        </is>
      </c>
      <c r="D11" s="3" t="inlineStr">
        <is>
          <t>Shared modalities</t>
        </is>
      </c>
      <c r="E11" s="66" t="n">
        <v>2</v>
      </c>
      <c r="F11" s="3" t="n">
        <v>1</v>
      </c>
      <c r="G11" s="3" t="n">
        <v>7</v>
      </c>
      <c r="H11" s="3" t="n">
        <v>3</v>
      </c>
      <c r="I11" s="3" t="inlineStr">
        <is>
          <t>Platform adjacency</t>
        </is>
      </c>
      <c r="J11" s="3" t="inlineStr">
        <is>
          <t>Small-molecule therapy; Monoclonal antibodies / biologics</t>
        </is>
      </c>
    </row>
    <row r="12">
      <c r="A12" s="3" t="inlineStr">
        <is>
          <t>immunology-respiratory-and-fibrosis--shared-target-mechanism</t>
        </is>
      </c>
      <c r="B12" s="3" t="inlineStr">
        <is>
          <t>Immunology, respiratory &amp; fibrosis</t>
        </is>
      </c>
      <c r="C12" s="3" t="inlineStr">
        <is>
          <t>Immunology / resp. / fibrosis</t>
        </is>
      </c>
      <c r="D12" s="3" t="inlineStr">
        <is>
          <t>Shared target / mechanism</t>
        </is>
      </c>
      <c r="E12" s="3" t="n">
        <v>0</v>
      </c>
      <c r="F12" s="3" t="n">
        <v>0</v>
      </c>
      <c r="G12" s="3" t="n">
        <v>7</v>
      </c>
      <c r="H12" s="3" t="n">
        <v>3</v>
      </c>
      <c r="I12" s="3" t="inlineStr">
        <is>
          <t>Platform adjacency</t>
        </is>
      </c>
      <c r="J12" s="3" t="inlineStr"/>
    </row>
    <row r="13">
      <c r="A13" s="3" t="inlineStr">
        <is>
          <t>immunology-respiratory-and-fibrosis--stage-alignment</t>
        </is>
      </c>
      <c r="B13" s="3" t="inlineStr">
        <is>
          <t>Immunology, respiratory &amp; fibrosis</t>
        </is>
      </c>
      <c r="C13" s="3" t="inlineStr">
        <is>
          <t>Immunology / resp. / fibrosis</t>
        </is>
      </c>
      <c r="D13" s="3" t="inlineStr">
        <is>
          <t>Stage alignment</t>
        </is>
      </c>
      <c r="E13" s="66" t="n">
        <v>1</v>
      </c>
      <c r="F13" s="3" t="n">
        <v>1</v>
      </c>
      <c r="G13" s="3" t="n">
        <v>7</v>
      </c>
      <c r="H13" s="3" t="n">
        <v>3</v>
      </c>
      <c r="I13" s="3" t="inlineStr">
        <is>
          <t>Platform adjacency</t>
        </is>
      </c>
      <c r="J13" s="3" t="inlineStr">
        <is>
          <t>Phase III / registration</t>
        </is>
      </c>
    </row>
    <row r="14">
      <c r="A14" s="3" t="inlineStr">
        <is>
          <t>cardiovascular--shared-indications</t>
        </is>
      </c>
      <c r="B14" s="3" t="inlineStr">
        <is>
          <t>Cardiovascular</t>
        </is>
      </c>
      <c r="C14" s="3" t="inlineStr">
        <is>
          <t>CV</t>
        </is>
      </c>
      <c r="D14" s="3" t="inlineStr">
        <is>
          <t>Shared indications</t>
        </is>
      </c>
      <c r="E14" s="66" t="n">
        <v>1</v>
      </c>
      <c r="F14" s="3" t="n">
        <v>2</v>
      </c>
      <c r="G14" s="3" t="n">
        <v>3</v>
      </c>
      <c r="H14" s="3" t="n">
        <v>2</v>
      </c>
      <c r="I14" s="3" t="inlineStr">
        <is>
          <t>Narrow adjacency</t>
        </is>
      </c>
      <c r="J14" s="3" t="inlineStr">
        <is>
          <t>Heart failure</t>
        </is>
      </c>
    </row>
    <row r="15">
      <c r="A15" s="3" t="inlineStr">
        <is>
          <t>cardiovascular--shared-modalities</t>
        </is>
      </c>
      <c r="B15" s="3" t="inlineStr">
        <is>
          <t>Cardiovascular</t>
        </is>
      </c>
      <c r="C15" s="3" t="inlineStr">
        <is>
          <t>CV</t>
        </is>
      </c>
      <c r="D15" s="3" t="inlineStr">
        <is>
          <t>Shared modalities</t>
        </is>
      </c>
      <c r="E15" s="66" t="n">
        <v>1</v>
      </c>
      <c r="F15" s="3" t="n">
        <v>1</v>
      </c>
      <c r="G15" s="3" t="n">
        <v>3</v>
      </c>
      <c r="H15" s="3" t="n">
        <v>2</v>
      </c>
      <c r="I15" s="3" t="inlineStr">
        <is>
          <t>Narrow adjacency</t>
        </is>
      </c>
      <c r="J15" s="3" t="inlineStr">
        <is>
          <t>Small-molecule therapy</t>
        </is>
      </c>
    </row>
    <row r="16">
      <c r="A16" s="3" t="inlineStr">
        <is>
          <t>cardiovascular--shared-target-mechanism</t>
        </is>
      </c>
      <c r="B16" s="3" t="inlineStr">
        <is>
          <t>Cardiovascular</t>
        </is>
      </c>
      <c r="C16" s="3" t="inlineStr">
        <is>
          <t>CV</t>
        </is>
      </c>
      <c r="D16" s="3" t="inlineStr">
        <is>
          <t>Shared target / mechanism</t>
        </is>
      </c>
      <c r="E16" s="3" t="n">
        <v>0</v>
      </c>
      <c r="F16" s="3" t="n">
        <v>0</v>
      </c>
      <c r="G16" s="3" t="n">
        <v>3</v>
      </c>
      <c r="H16" s="3" t="n">
        <v>2</v>
      </c>
      <c r="I16" s="3" t="inlineStr">
        <is>
          <t>Narrow adjacency</t>
        </is>
      </c>
      <c r="J16" s="3" t="inlineStr"/>
    </row>
    <row r="17">
      <c r="A17" s="3" t="inlineStr">
        <is>
          <t>cardiovascular--stage-alignment</t>
        </is>
      </c>
      <c r="B17" s="3" t="inlineStr">
        <is>
          <t>Cardiovascular</t>
        </is>
      </c>
      <c r="C17" s="3" t="inlineStr">
        <is>
          <t>CV</t>
        </is>
      </c>
      <c r="D17" s="3" t="inlineStr">
        <is>
          <t>Stage alignment</t>
        </is>
      </c>
      <c r="E17" s="66" t="n">
        <v>2</v>
      </c>
      <c r="F17" s="3" t="n">
        <v>2</v>
      </c>
      <c r="G17" s="3" t="n">
        <v>3</v>
      </c>
      <c r="H17" s="3" t="n">
        <v>2</v>
      </c>
      <c r="I17" s="3" t="inlineStr">
        <is>
          <t>Narrow adjacency</t>
        </is>
      </c>
      <c r="J17" s="3" t="inlineStr">
        <is>
          <t>Phase II; Phase III / registration</t>
        </is>
      </c>
    </row>
    <row r="18">
      <c r="A18" s="3" t="inlineStr">
        <is>
          <t>rare-disease--shared-indications</t>
        </is>
      </c>
      <c r="B18" s="3" t="inlineStr">
        <is>
          <t>Rare disease</t>
        </is>
      </c>
      <c r="C18" s="3" t="inlineStr">
        <is>
          <t>Rare disease</t>
        </is>
      </c>
      <c r="D18" s="3" t="inlineStr">
        <is>
          <t>Shared indications</t>
        </is>
      </c>
      <c r="E18" s="3" t="n">
        <v>0</v>
      </c>
      <c r="F18" s="3" t="n">
        <v>0</v>
      </c>
      <c r="G18" s="3" t="n">
        <v>9</v>
      </c>
      <c r="H18" s="3" t="n">
        <v>0</v>
      </c>
      <c r="I18" s="3" t="inlineStr">
        <is>
          <t>AZ-led fit</t>
        </is>
      </c>
      <c r="J18" s="3" t="inlineStr"/>
    </row>
    <row r="19">
      <c r="A19" s="3" t="inlineStr">
        <is>
          <t>rare-disease--shared-modalities</t>
        </is>
      </c>
      <c r="B19" s="3" t="inlineStr">
        <is>
          <t>Rare disease</t>
        </is>
      </c>
      <c r="C19" s="3" t="inlineStr">
        <is>
          <t>Rare disease</t>
        </is>
      </c>
      <c r="D19" s="3" t="inlineStr">
        <is>
          <t>Shared modalities</t>
        </is>
      </c>
      <c r="E19" s="3" t="n">
        <v>0</v>
      </c>
      <c r="F19" s="3" t="n">
        <v>0</v>
      </c>
      <c r="G19" s="3" t="n">
        <v>9</v>
      </c>
      <c r="H19" s="3" t="n">
        <v>0</v>
      </c>
      <c r="I19" s="3" t="inlineStr">
        <is>
          <t>AZ-led fit</t>
        </is>
      </c>
      <c r="J19" s="3" t="inlineStr"/>
    </row>
    <row r="20">
      <c r="A20" s="3" t="inlineStr">
        <is>
          <t>rare-disease--shared-target-mechanism</t>
        </is>
      </c>
      <c r="B20" s="3" t="inlineStr">
        <is>
          <t>Rare disease</t>
        </is>
      </c>
      <c r="C20" s="3" t="inlineStr">
        <is>
          <t>Rare disease</t>
        </is>
      </c>
      <c r="D20" s="3" t="inlineStr">
        <is>
          <t>Shared target / mechanism</t>
        </is>
      </c>
      <c r="E20" s="3" t="n">
        <v>0</v>
      </c>
      <c r="F20" s="3" t="n">
        <v>0</v>
      </c>
      <c r="G20" s="3" t="n">
        <v>9</v>
      </c>
      <c r="H20" s="3" t="n">
        <v>0</v>
      </c>
      <c r="I20" s="3" t="inlineStr">
        <is>
          <t>AZ-led fit</t>
        </is>
      </c>
      <c r="J20" s="3" t="inlineStr"/>
    </row>
    <row r="21">
      <c r="A21" s="3" t="inlineStr">
        <is>
          <t>rare-disease--stage-alignment</t>
        </is>
      </c>
      <c r="B21" s="3" t="inlineStr">
        <is>
          <t>Rare disease</t>
        </is>
      </c>
      <c r="C21" s="3" t="inlineStr">
        <is>
          <t>Rare disease</t>
        </is>
      </c>
      <c r="D21" s="3" t="inlineStr">
        <is>
          <t>Stage alignment</t>
        </is>
      </c>
      <c r="E21" s="3" t="n">
        <v>0</v>
      </c>
      <c r="F21" s="3" t="n">
        <v>0</v>
      </c>
      <c r="G21" s="3" t="n">
        <v>9</v>
      </c>
      <c r="H21" s="3" t="n">
        <v>0</v>
      </c>
      <c r="I21" s="3" t="inlineStr">
        <is>
          <t>AZ-led fit</t>
        </is>
      </c>
      <c r="J21" s="3" t="inlineStr"/>
    </row>
    <row r="22">
      <c r="A22" s="3" t="inlineStr">
        <is>
          <t>renal-and-metabolic--shared-indications</t>
        </is>
      </c>
      <c r="B22" s="3" t="inlineStr">
        <is>
          <t>Renal &amp; metabolic</t>
        </is>
      </c>
      <c r="C22" s="3" t="inlineStr">
        <is>
          <t>Renal / metabolic</t>
        </is>
      </c>
      <c r="D22" s="3" t="inlineStr">
        <is>
          <t>Shared indications</t>
        </is>
      </c>
      <c r="E22" s="3" t="n">
        <v>0</v>
      </c>
      <c r="F22" s="3" t="n">
        <v>0</v>
      </c>
      <c r="G22" s="3" t="n">
        <v>7</v>
      </c>
      <c r="H22" s="3" t="n">
        <v>0</v>
      </c>
      <c r="I22" s="3" t="inlineStr">
        <is>
          <t>AZ-led fit</t>
        </is>
      </c>
      <c r="J22" s="3" t="inlineStr"/>
    </row>
    <row r="23">
      <c r="A23" s="3" t="inlineStr">
        <is>
          <t>renal-and-metabolic--shared-modalities</t>
        </is>
      </c>
      <c r="B23" s="3" t="inlineStr">
        <is>
          <t>Renal &amp; metabolic</t>
        </is>
      </c>
      <c r="C23" s="3" t="inlineStr">
        <is>
          <t>Renal / metabolic</t>
        </is>
      </c>
      <c r="D23" s="3" t="inlineStr">
        <is>
          <t>Shared modalities</t>
        </is>
      </c>
      <c r="E23" s="3" t="n">
        <v>0</v>
      </c>
      <c r="F23" s="3" t="n">
        <v>0</v>
      </c>
      <c r="G23" s="3" t="n">
        <v>7</v>
      </c>
      <c r="H23" s="3" t="n">
        <v>0</v>
      </c>
      <c r="I23" s="3" t="inlineStr">
        <is>
          <t>AZ-led fit</t>
        </is>
      </c>
      <c r="J23" s="3" t="inlineStr"/>
    </row>
    <row r="24">
      <c r="A24" s="3" t="inlineStr">
        <is>
          <t>renal-and-metabolic--shared-target-mechanism</t>
        </is>
      </c>
      <c r="B24" s="3" t="inlineStr">
        <is>
          <t>Renal &amp; metabolic</t>
        </is>
      </c>
      <c r="C24" s="3" t="inlineStr">
        <is>
          <t>Renal / metabolic</t>
        </is>
      </c>
      <c r="D24" s="3" t="inlineStr">
        <is>
          <t>Shared target / mechanism</t>
        </is>
      </c>
      <c r="E24" s="3" t="n">
        <v>0</v>
      </c>
      <c r="F24" s="3" t="n">
        <v>0</v>
      </c>
      <c r="G24" s="3" t="n">
        <v>7</v>
      </c>
      <c r="H24" s="3" t="n">
        <v>0</v>
      </c>
      <c r="I24" s="3" t="inlineStr">
        <is>
          <t>AZ-led fit</t>
        </is>
      </c>
      <c r="J24" s="3" t="inlineStr"/>
    </row>
    <row r="25">
      <c r="A25" s="3" t="inlineStr">
        <is>
          <t>renal-and-metabolic--stage-alignment</t>
        </is>
      </c>
      <c r="B25" s="3" t="inlineStr">
        <is>
          <t>Renal &amp; metabolic</t>
        </is>
      </c>
      <c r="C25" s="3" t="inlineStr">
        <is>
          <t>Renal / metabolic</t>
        </is>
      </c>
      <c r="D25" s="3" t="inlineStr">
        <is>
          <t>Stage alignment</t>
        </is>
      </c>
      <c r="E25" s="3" t="n">
        <v>0</v>
      </c>
      <c r="F25" s="3" t="n">
        <v>0</v>
      </c>
      <c r="G25" s="3" t="n">
        <v>7</v>
      </c>
      <c r="H25" s="3" t="n">
        <v>0</v>
      </c>
      <c r="I25" s="3" t="inlineStr">
        <is>
          <t>AZ-led fit</t>
        </is>
      </c>
      <c r="J25" s="3" t="inlineStr"/>
    </row>
    <row r="26">
      <c r="A26" s="3" t="inlineStr">
        <is>
          <t>infectious-disease--shared-indications</t>
        </is>
      </c>
      <c r="B26" s="3" t="inlineStr">
        <is>
          <t>Infectious disease</t>
        </is>
      </c>
      <c r="C26" s="3" t="inlineStr">
        <is>
          <t>Infectious disease</t>
        </is>
      </c>
      <c r="D26" s="3" t="inlineStr">
        <is>
          <t>Shared indications</t>
        </is>
      </c>
      <c r="E26" s="3" t="n">
        <v>0</v>
      </c>
      <c r="F26" s="3" t="n">
        <v>0</v>
      </c>
      <c r="G26" s="3" t="n">
        <v>3</v>
      </c>
      <c r="H26" s="3" t="n">
        <v>0</v>
      </c>
      <c r="I26" s="3" t="inlineStr">
        <is>
          <t>AZ-led fit</t>
        </is>
      </c>
      <c r="J26" s="3" t="inlineStr"/>
    </row>
    <row r="27">
      <c r="A27" s="3" t="inlineStr">
        <is>
          <t>infectious-disease--shared-modalities</t>
        </is>
      </c>
      <c r="B27" s="3" t="inlineStr">
        <is>
          <t>Infectious disease</t>
        </is>
      </c>
      <c r="C27" s="3" t="inlineStr">
        <is>
          <t>Infectious disease</t>
        </is>
      </c>
      <c r="D27" s="3" t="inlineStr">
        <is>
          <t>Shared modalities</t>
        </is>
      </c>
      <c r="E27" s="3" t="n">
        <v>0</v>
      </c>
      <c r="F27" s="3" t="n">
        <v>0</v>
      </c>
      <c r="G27" s="3" t="n">
        <v>3</v>
      </c>
      <c r="H27" s="3" t="n">
        <v>0</v>
      </c>
      <c r="I27" s="3" t="inlineStr">
        <is>
          <t>AZ-led fit</t>
        </is>
      </c>
      <c r="J27" s="3" t="inlineStr"/>
    </row>
    <row r="28">
      <c r="A28" s="3" t="inlineStr">
        <is>
          <t>infectious-disease--shared-target-mechanism</t>
        </is>
      </c>
      <c r="B28" s="3" t="inlineStr">
        <is>
          <t>Infectious disease</t>
        </is>
      </c>
      <c r="C28" s="3" t="inlineStr">
        <is>
          <t>Infectious disease</t>
        </is>
      </c>
      <c r="D28" s="3" t="inlineStr">
        <is>
          <t>Shared target / mechanism</t>
        </is>
      </c>
      <c r="E28" s="3" t="n">
        <v>0</v>
      </c>
      <c r="F28" s="3" t="n">
        <v>0</v>
      </c>
      <c r="G28" s="3" t="n">
        <v>3</v>
      </c>
      <c r="H28" s="3" t="n">
        <v>0</v>
      </c>
      <c r="I28" s="3" t="inlineStr">
        <is>
          <t>AZ-led fit</t>
        </is>
      </c>
      <c r="J28" s="3" t="inlineStr"/>
    </row>
    <row r="29">
      <c r="A29" s="3" t="inlineStr">
        <is>
          <t>infectious-disease--stage-alignment</t>
        </is>
      </c>
      <c r="B29" s="3" t="inlineStr">
        <is>
          <t>Infectious disease</t>
        </is>
      </c>
      <c r="C29" s="3" t="inlineStr">
        <is>
          <t>Infectious disease</t>
        </is>
      </c>
      <c r="D29" s="3" t="inlineStr">
        <is>
          <t>Stage alignment</t>
        </is>
      </c>
      <c r="E29" s="3" t="n">
        <v>0</v>
      </c>
      <c r="F29" s="3" t="n">
        <v>0</v>
      </c>
      <c r="G29" s="3" t="n">
        <v>3</v>
      </c>
      <c r="H29" s="3" t="n">
        <v>0</v>
      </c>
      <c r="I29" s="3" t="inlineStr">
        <is>
          <t>AZ-led fit</t>
        </is>
      </c>
      <c r="J29" s="3" t="inlineStr"/>
    </row>
    <row r="30">
      <c r="A30" s="3" t="inlineStr">
        <is>
          <t>neuroscience--shared-indications</t>
        </is>
      </c>
      <c r="B30" s="3" t="inlineStr">
        <is>
          <t>Neuroscience</t>
        </is>
      </c>
      <c r="C30" s="3" t="inlineStr">
        <is>
          <t>Neuroscience</t>
        </is>
      </c>
      <c r="D30" s="3" t="inlineStr">
        <is>
          <t>Shared indications</t>
        </is>
      </c>
      <c r="E30" s="3" t="n">
        <v>0</v>
      </c>
      <c r="F30" s="3" t="n">
        <v>0</v>
      </c>
      <c r="G30" s="3" t="n">
        <v>0</v>
      </c>
      <c r="H30" s="3" t="n">
        <v>2</v>
      </c>
      <c r="I30" s="3" t="inlineStr">
        <is>
          <t>BMS-led fit</t>
        </is>
      </c>
      <c r="J30" s="3" t="inlineStr"/>
    </row>
    <row r="31">
      <c r="A31" s="3" t="inlineStr">
        <is>
          <t>neuroscience--shared-modalities</t>
        </is>
      </c>
      <c r="B31" s="3" t="inlineStr">
        <is>
          <t>Neuroscience</t>
        </is>
      </c>
      <c r="C31" s="3" t="inlineStr">
        <is>
          <t>Neuroscience</t>
        </is>
      </c>
      <c r="D31" s="3" t="inlineStr">
        <is>
          <t>Shared modalities</t>
        </is>
      </c>
      <c r="E31" s="3" t="n">
        <v>0</v>
      </c>
      <c r="F31" s="3" t="n">
        <v>0</v>
      </c>
      <c r="G31" s="3" t="n">
        <v>0</v>
      </c>
      <c r="H31" s="3" t="n">
        <v>2</v>
      </c>
      <c r="I31" s="3" t="inlineStr">
        <is>
          <t>BMS-led fit</t>
        </is>
      </c>
      <c r="J31" s="3" t="inlineStr"/>
    </row>
    <row r="32">
      <c r="A32" s="3" t="inlineStr">
        <is>
          <t>neuroscience--shared-target-mechanism</t>
        </is>
      </c>
      <c r="B32" s="3" t="inlineStr">
        <is>
          <t>Neuroscience</t>
        </is>
      </c>
      <c r="C32" s="3" t="inlineStr">
        <is>
          <t>Neuroscience</t>
        </is>
      </c>
      <c r="D32" s="3" t="inlineStr">
        <is>
          <t>Shared target / mechanism</t>
        </is>
      </c>
      <c r="E32" s="3" t="n">
        <v>0</v>
      </c>
      <c r="F32" s="3" t="n">
        <v>0</v>
      </c>
      <c r="G32" s="3" t="n">
        <v>0</v>
      </c>
      <c r="H32" s="3" t="n">
        <v>2</v>
      </c>
      <c r="I32" s="3" t="inlineStr">
        <is>
          <t>BMS-led fit</t>
        </is>
      </c>
      <c r="J32" s="3" t="inlineStr"/>
    </row>
    <row r="33">
      <c r="A33" s="3" t="inlineStr">
        <is>
          <t>neuroscience--stage-alignment</t>
        </is>
      </c>
      <c r="B33" s="3" t="inlineStr">
        <is>
          <t>Neuroscience</t>
        </is>
      </c>
      <c r="C33" s="3" t="inlineStr">
        <is>
          <t>Neuroscience</t>
        </is>
      </c>
      <c r="D33" s="3" t="inlineStr">
        <is>
          <t>Stage alignment</t>
        </is>
      </c>
      <c r="E33" s="3" t="n">
        <v>0</v>
      </c>
      <c r="F33" s="3" t="n">
        <v>0</v>
      </c>
      <c r="G33" s="3" t="n">
        <v>0</v>
      </c>
      <c r="H33" s="3" t="n">
        <v>2</v>
      </c>
      <c r="I33" s="3" t="inlineStr">
        <is>
          <t>BMS-led fit</t>
        </is>
      </c>
      <c r="J33" s="3" t="inlineStr"/>
    </row>
  </sheetData>
  <pageMargins left="0.7" right="0.7" top="0.75" bottom="0.75" header="0.3" footer="0.3"/>
  <tableParts count="1">
    <tablePart xmlns:r="http://schemas.openxmlformats.org/officeDocument/2006/relationships" r:id="rId1"/>
  </tableParts>
</worksheet>
</file>

<file path=xl/worksheets/sheet17.xml><?xml version="1.0" encoding="utf-8"?>
<worksheet xmlns="http://schemas.openxmlformats.org/spreadsheetml/2006/main">
  <sheetPr>
    <outlinePr summaryBelow="1" summaryRight="1"/>
    <pageSetUpPr/>
  </sheetPr>
  <dimension ref="A1:H10"/>
  <sheetViews>
    <sheetView workbookViewId="0">
      <pane ySplit="3" topLeftCell="A4" activePane="bottomLeft" state="frozen"/>
      <selection pane="bottomLeft" activeCell="A1" sqref="A1"/>
    </sheetView>
  </sheetViews>
  <sheetFormatPr baseColWidth="8" defaultRowHeight="15"/>
  <cols>
    <col width="30" customWidth="1" min="1" max="1"/>
    <col width="22" customWidth="1" min="2" max="2"/>
    <col width="27" customWidth="1" min="3" max="3"/>
    <col width="45" customWidth="1" min="4" max="4"/>
    <col width="43" customWidth="1" min="5" max="5"/>
    <col width="24" customWidth="1" min="6" max="6"/>
    <col width="46" customWidth="1" min="7" max="7"/>
    <col width="60" customWidth="1" min="8" max="8"/>
  </cols>
  <sheetData>
    <row r="1" ht="27" customHeight="1">
      <c r="A1" s="81" t="inlineStr">
        <is>
          <t>Brand and marketed-component mapping</t>
        </is>
      </c>
    </row>
    <row r="3" ht="31" customHeight="1">
      <c r="A3" s="82" t="inlineStr">
        <is>
          <t>Program</t>
        </is>
      </c>
      <c r="B3" s="82" t="inlineStr">
        <is>
          <t>Company</t>
        </is>
      </c>
      <c r="C3" s="82" t="inlineStr">
        <is>
          <t>Brand / marketed component</t>
        </is>
      </c>
      <c r="D3" s="82" t="inlineStr">
        <is>
          <t>Relationship</t>
        </is>
      </c>
      <c r="E3" s="82" t="inlineStr">
        <is>
          <t>Marketed status</t>
        </is>
      </c>
      <c r="F3" s="82" t="inlineStr">
        <is>
          <t>Sales trend ID(s)</t>
        </is>
      </c>
      <c r="G3" s="82" t="inlineStr">
        <is>
          <t>Sales context</t>
        </is>
      </c>
      <c r="H3" s="82" t="inlineStr">
        <is>
          <t>Source URL</t>
        </is>
      </c>
    </row>
    <row r="4">
      <c r="A4" s="83" t="inlineStr">
        <is>
          <t>camizestrant</t>
        </is>
      </c>
      <c r="B4" s="83" t="inlineStr">
        <is>
          <t>AstraZeneca</t>
        </is>
      </c>
      <c r="C4" s="83" t="inlineStr">
        <is>
          <t>Etcamah</t>
        </is>
      </c>
      <c r="D4" s="83" t="inlineStr">
        <is>
          <t>Approved brand for camizestrant (EU and Japan, 2026)</t>
        </is>
      </c>
      <c r="E4" s="83" t="inlineStr">
        <is>
          <t>Launched in EU and Japan after the February 2026 pipeline snapshot</t>
        </is>
      </c>
      <c r="F4" s="83" t="inlineStr">
        <is>
          <t>ETCAMAH</t>
        </is>
      </c>
      <c r="G4" s="83" t="inlineStr">
        <is>
          <t>Etcamah: $3M H1 2026 product revenue (new launch)</t>
        </is>
      </c>
      <c r="H4" s="83" t="inlineStr">
        <is>
          <t>https://www.rns-pdf.londonstockexchange.com/rns/9440N_1-2026-7-26.pdf</t>
        </is>
      </c>
    </row>
    <row r="5">
      <c r="A5" s="84" t="inlineStr">
        <is>
          <t>baxdrostat</t>
        </is>
      </c>
      <c r="B5" s="84" t="inlineStr">
        <is>
          <t>AstraZeneca</t>
        </is>
      </c>
      <c r="C5" s="84" t="inlineStr">
        <is>
          <t>Baxfendy</t>
        </is>
      </c>
      <c r="D5" s="84" t="inlineStr">
        <is>
          <t>Approved brand for baxdrostat (US, 2026)</t>
        </is>
      </c>
      <c r="E5" s="84" t="inlineStr">
        <is>
          <t>Launched in the US after the February 2026 pipeline snapshot</t>
        </is>
      </c>
      <c r="F5" s="84" t="inlineStr">
        <is>
          <t>BAXFENDY</t>
        </is>
      </c>
      <c r="G5" s="84" t="inlineStr">
        <is>
          <t>Baxfendy: $3M H1 2026 product revenue (new launch)</t>
        </is>
      </c>
      <c r="H5" s="84" t="inlineStr">
        <is>
          <t>https://www.rns-pdf.londonstockexchange.com/rns/9440N_1-2026-7-26.pdf</t>
        </is>
      </c>
    </row>
    <row r="6">
      <c r="A6" s="83" t="inlineStr">
        <is>
          <t>IPH5201</t>
        </is>
      </c>
      <c r="B6" s="83" t="inlineStr">
        <is>
          <t>AstraZeneca</t>
        </is>
      </c>
      <c r="C6" s="83" t="inlineStr">
        <is>
          <t>Imfinzi</t>
        </is>
      </c>
      <c r="D6" s="83" t="inlineStr">
        <is>
          <t>Marketed combination backbone: Imfinzi (durvalumab)</t>
        </is>
      </c>
      <c r="E6" s="83" t="inlineStr">
        <is>
          <t>IPH5201 remains investigational; Imfinzi is marketed</t>
        </is>
      </c>
      <c r="F6" s="83" t="inlineStr">
        <is>
          <t>IMFINZI</t>
        </is>
      </c>
      <c r="G6" s="83" t="inlineStr">
        <is>
          <t>IPH5201 not launched; Imfinzi generated $6.1B in 2025</t>
        </is>
      </c>
      <c r="H6" s="83" t="inlineStr">
        <is>
          <t>https://www.sec.gov/Archives/edgar/data/901832/000110465926019130/azn-20251231x20f.htm</t>
        </is>
      </c>
    </row>
    <row r="7">
      <c r="A7" s="84" t="inlineStr">
        <is>
          <t>atigotatug + nivolumab</t>
        </is>
      </c>
      <c r="B7" s="84" t="inlineStr">
        <is>
          <t>Bristol Myers Squibb</t>
        </is>
      </c>
      <c r="C7" s="84" t="inlineStr">
        <is>
          <t>Opdivo / Opdivo Qvantig</t>
        </is>
      </c>
      <c r="D7" s="84" t="inlineStr">
        <is>
          <t>Marketed component: nivolumab</t>
        </is>
      </c>
      <c r="E7" s="84" t="inlineStr">
        <is>
          <t>Atigotatug combination remains investigational; nivolumab is marketed</t>
        </is>
      </c>
      <c r="F7" s="84" t="inlineStr">
        <is>
          <t>OPDIVO_FRANCHISE</t>
        </is>
      </c>
      <c r="G7" s="84" t="inlineStr">
        <is>
          <t>Combination not launched; Opdivo franchise generated $10.3B in 2025</t>
        </is>
      </c>
      <c r="H7" s="84" t="inlineStr">
        <is>
          <t>https://www.sec.gov/Archives/edgar/data/14272/000001427226000004/bmy-20251231.htm</t>
        </is>
      </c>
    </row>
    <row r="8">
      <c r="A8" s="83" t="inlineStr">
        <is>
          <t>nivolumab + relatlimab HD</t>
        </is>
      </c>
      <c r="B8" s="83" t="inlineStr">
        <is>
          <t>Bristol Myers Squibb</t>
        </is>
      </c>
      <c r="C8" s="83" t="inlineStr">
        <is>
          <t>Opdualag</t>
        </is>
      </c>
      <c r="D8" s="83" t="inlineStr">
        <is>
          <t>Related marketed fixed-dose combination: nivolumab + relatlimab</t>
        </is>
      </c>
      <c r="E8" s="83" t="inlineStr">
        <is>
          <t>Higher-dose / chemotherapy regimen remains investigational</t>
        </is>
      </c>
      <c r="F8" s="83" t="inlineStr">
        <is>
          <t>OPDUALAG | OPDIVO_FRANCHISE</t>
        </is>
      </c>
      <c r="G8" s="83" t="inlineStr">
        <is>
          <t>Investigational regimen not launched; Opdualag generated $1.2B in 2025</t>
        </is>
      </c>
      <c r="H8" s="83" t="inlineStr">
        <is>
          <t>https://www.sec.gov/Archives/edgar/data/14272/000001427226000004/bmy-20251231.htm</t>
        </is>
      </c>
    </row>
    <row r="9">
      <c r="A9" s="84" t="inlineStr">
        <is>
          <t>balcinrenone / dapagliflozin</t>
        </is>
      </c>
      <c r="B9" s="84" t="inlineStr">
        <is>
          <t>AstraZeneca</t>
        </is>
      </c>
      <c r="C9" s="84" t="inlineStr">
        <is>
          <t>Farxiga / Forxiga</t>
        </is>
      </c>
      <c r="D9" s="84" t="inlineStr">
        <is>
          <t>Marketed component: dapagliflozin</t>
        </is>
      </c>
      <c r="E9" s="84" t="inlineStr">
        <is>
          <t>Combination remains investigational; dapagliflozin is marketed</t>
        </is>
      </c>
      <c r="F9" s="84" t="inlineStr">
        <is>
          <t>FARXIGA</t>
        </is>
      </c>
      <c r="G9" s="84" t="inlineStr">
        <is>
          <t>Combination not launched; Farxiga/Forxiga generated $8.5B in 2025</t>
        </is>
      </c>
      <c r="H9" s="84" t="inlineStr">
        <is>
          <t>https://www.sec.gov/Archives/edgar/data/901832/000110465926019130/azn-20251231x20f.htm</t>
        </is>
      </c>
    </row>
    <row r="10">
      <c r="A10" s="83" t="inlineStr">
        <is>
          <t>zibotentan / dapagliflozin</t>
        </is>
      </c>
      <c r="B10" s="83" t="inlineStr">
        <is>
          <t>AstraZeneca</t>
        </is>
      </c>
      <c r="C10" s="83" t="inlineStr">
        <is>
          <t>Farxiga / Forxiga</t>
        </is>
      </c>
      <c r="D10" s="83" t="inlineStr">
        <is>
          <t>Marketed component: dapagliflozin</t>
        </is>
      </c>
      <c r="E10" s="83" t="inlineStr">
        <is>
          <t>Combination remains investigational; dapagliflozin is marketed</t>
        </is>
      </c>
      <c r="F10" s="83" t="inlineStr">
        <is>
          <t>FARXIGA</t>
        </is>
      </c>
      <c r="G10" s="83" t="inlineStr">
        <is>
          <t>Combination not launched; Farxiga/Forxiga generated $8.5B in 2025</t>
        </is>
      </c>
      <c r="H10" s="83" t="inlineStr">
        <is>
          <t>https://www.sec.gov/Archives/edgar/data/901832/000110465926019130/azn-20251231x20f.htm</t>
        </is>
      </c>
    </row>
  </sheetData>
  <autoFilter ref="A3:H10"/>
  <mergeCells count="1">
    <mergeCell ref="A1:H1"/>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I14"/>
  <sheetViews>
    <sheetView workbookViewId="0">
      <pane ySplit="3" topLeftCell="A4" activePane="bottomLeft" state="frozen"/>
      <selection pane="bottomLeft" activeCell="A1" sqref="A1"/>
    </sheetView>
  </sheetViews>
  <sheetFormatPr baseColWidth="8" defaultRowHeight="15"/>
  <cols>
    <col width="22" customWidth="1" min="1" max="1"/>
    <col width="24" customWidth="1" min="2" max="2"/>
    <col width="25" customWidth="1" min="3" max="3"/>
    <col width="32" customWidth="1" min="4" max="4"/>
    <col width="35" customWidth="1" min="5" max="5"/>
    <col width="68" customWidth="1" min="6" max="6"/>
    <col width="68" customWidth="1" min="7" max="7"/>
    <col width="36" customWidth="1" min="8" max="8"/>
    <col width="75" customWidth="1" min="9" max="9"/>
  </cols>
  <sheetData>
    <row r="1" ht="27" customHeight="1">
      <c r="A1" s="81" t="inlineStr">
        <is>
          <t>Sales projection assumptions and patent / exclusivity context</t>
        </is>
      </c>
    </row>
    <row r="3" ht="31" customHeight="1">
      <c r="A3" s="82" t="inlineStr">
        <is>
          <t>Trend ID</t>
        </is>
      </c>
      <c r="B3" s="82" t="inlineStr">
        <is>
          <t>Company</t>
        </is>
      </c>
      <c r="C3" s="82" t="inlineStr">
        <is>
          <t>Product</t>
        </is>
      </c>
      <c r="D3" s="82" t="inlineStr">
        <is>
          <t>Generic / active ingredient</t>
        </is>
      </c>
      <c r="E3" s="82" t="inlineStr">
        <is>
          <t>Relevance</t>
        </is>
      </c>
      <c r="F3" s="82" t="inlineStr">
        <is>
          <t>Projection basis</t>
        </is>
      </c>
      <c r="G3" s="82" t="inlineStr">
        <is>
          <t>Patent / exclusivity assumption</t>
        </is>
      </c>
      <c r="H3" s="82" t="inlineStr">
        <is>
          <t>Patent event(s)</t>
        </is>
      </c>
      <c r="I3" s="82" t="inlineStr">
        <is>
          <t>Source URL(s)</t>
        </is>
      </c>
    </row>
    <row r="4">
      <c r="A4" s="83" t="inlineStr">
        <is>
          <t>ETCAMAH</t>
        </is>
      </c>
      <c r="B4" s="83" t="inlineStr">
        <is>
          <t>AstraZeneca</t>
        </is>
      </c>
      <c r="C4" s="83" t="inlineStr">
        <is>
          <t>Etcamah</t>
        </is>
      </c>
      <c r="D4" s="83" t="inlineStr">
        <is>
          <t>camizestrant</t>
        </is>
      </c>
      <c r="E4" s="83" t="inlineStr">
        <is>
          <t>Approved asset brand</t>
        </is>
      </c>
      <c r="F4" s="83" t="inlineStr">
        <is>
          <t>Illustrative new-launch uptake scenario from the $3M H1 2026 starting point; not company guidance or consensus.</t>
        </is>
      </c>
      <c r="G4" s="83" t="inlineStr">
        <is>
          <t>No product-specific loss-of-exclusivity date was disclosed in the 2025 Form 20-F; no cliff is applied through 2031.</t>
        </is>
      </c>
      <c r="H4" s="83" t="inlineStr"/>
      <c r="I4" s="83" t="inlineStr">
        <is>
          <t>https://www.rns-pdf.londonstockexchange.com/rns/9440N_1-2026-7-26.pdf | https://www.sec.gov/Archives/edgar/data/901832/000110465926019130/azn-20251231x20f.htm</t>
        </is>
      </c>
    </row>
    <row r="5">
      <c r="A5" s="84" t="inlineStr">
        <is>
          <t>BAXFENDY</t>
        </is>
      </c>
      <c r="B5" s="84" t="inlineStr">
        <is>
          <t>AstraZeneca</t>
        </is>
      </c>
      <c r="C5" s="84" t="inlineStr">
        <is>
          <t>Baxfendy</t>
        </is>
      </c>
      <c r="D5" s="84" t="inlineStr">
        <is>
          <t>baxdrostat</t>
        </is>
      </c>
      <c r="E5" s="84" t="inlineStr">
        <is>
          <t>Approved asset brand</t>
        </is>
      </c>
      <c r="F5" s="84" t="inlineStr">
        <is>
          <t>Illustrative new-launch uptake scenario from the $3M H1 2026 starting point; not company guidance or consensus.</t>
        </is>
      </c>
      <c r="G5" s="84" t="inlineStr">
        <is>
          <t>No product-specific loss-of-exclusivity date was disclosed in the 2025 Form 20-F; no cliff is applied through 2031.</t>
        </is>
      </c>
      <c r="H5" s="84" t="inlineStr"/>
      <c r="I5" s="84" t="inlineStr">
        <is>
          <t>https://www.rns-pdf.londonstockexchange.com/rns/9440N_1-2026-7-26.pdf | https://www.sec.gov/Archives/edgar/data/901832/000110465926019130/azn-20251231x20f.htm</t>
        </is>
      </c>
    </row>
    <row r="6">
      <c r="A6" s="83" t="inlineStr">
        <is>
          <t>TAGRISSO</t>
        </is>
      </c>
      <c r="B6" s="83" t="inlineStr">
        <is>
          <t>AstraZeneca</t>
        </is>
      </c>
      <c r="C6" s="83" t="inlineStr">
        <is>
          <t>Tagrisso</t>
        </is>
      </c>
      <c r="D6" s="83" t="inlineStr">
        <is>
          <t>osimertinib</t>
        </is>
      </c>
      <c r="E6" s="83" t="inlineStr">
        <is>
          <t>NSCLC commercial benchmark</t>
        </is>
      </c>
      <c r="F6" s="83" t="inlineStr">
        <is>
          <t>2026E annualizes H1 2026. Thereafter an illustrative slowing-growth curve is followed by modeled erosion beginning at the earliest disclosed 2032 exclusivity date.</t>
        </is>
      </c>
      <c r="G6" s="83" t="inlineStr">
        <is>
          <t>Disclosed minimum exclusivity dates: US/China/EU 2032 and 2035; Japan 2034 and 2035. The scenario applies a cliff from 2032.</t>
        </is>
      </c>
      <c r="H6" s="83" t="inlineStr">
        <is>
          <t>2032: Earliest disclosed LOE | 2035: Later patent layer</t>
        </is>
      </c>
      <c r="I6" s="83" t="inlineStr">
        <is>
          <t>https://www.sec.gov/Archives/edgar/data/901832/000110465926019130/azn-20251231x20f.htm | https://www.rns-pdf.londonstockexchange.com/rns/9440N_1-2026-7-26.pdf</t>
        </is>
      </c>
    </row>
    <row r="7">
      <c r="A7" s="84" t="inlineStr">
        <is>
          <t>IMFINZI</t>
        </is>
      </c>
      <c r="B7" s="84" t="inlineStr">
        <is>
          <t>AstraZeneca</t>
        </is>
      </c>
      <c r="C7" s="84" t="inlineStr">
        <is>
          <t>Imfinzi</t>
        </is>
      </c>
      <c r="D7" s="84" t="inlineStr">
        <is>
          <t>durvalumab</t>
        </is>
      </c>
      <c r="E7" s="84" t="inlineStr">
        <is>
          <t>Marketed combination backbone</t>
        </is>
      </c>
      <c r="F7" s="84" t="inlineStr">
        <is>
          <t>2026E annualizes H1 2026. The scenario assumes continued indication growth through 2029, then erosion as disclosed EU/China and US exclusivity dates arrive.</t>
        </is>
      </c>
      <c r="G7" s="84" t="inlineStr">
        <is>
          <t>Disclosed minimum exclusivity dates: China/EU 2030, US 2031 and Japan 2033. The scenario applies erosion from 2030.</t>
        </is>
      </c>
      <c r="H7" s="84" t="inlineStr">
        <is>
          <t>2030: EU/China LOE | 2031: US LOE</t>
        </is>
      </c>
      <c r="I7" s="84" t="inlineStr">
        <is>
          <t>https://www.sec.gov/Archives/edgar/data/901832/000110465926019130/azn-20251231x20f.htm | https://www.rns-pdf.londonstockexchange.com/rns/9440N_1-2026-7-26.pdf</t>
        </is>
      </c>
    </row>
    <row r="8">
      <c r="A8" s="83" t="inlineStr">
        <is>
          <t>FARXIGA</t>
        </is>
      </c>
      <c r="B8" s="83" t="inlineStr">
        <is>
          <t>AstraZeneca</t>
        </is>
      </c>
      <c r="C8" s="83" t="inlineStr">
        <is>
          <t>Farxiga / Forxiga</t>
        </is>
      </c>
      <c r="D8" s="83" t="inlineStr">
        <is>
          <t>dapagliflozin</t>
        </is>
      </c>
      <c r="E8" s="83" t="inlineStr">
        <is>
          <t>Marketed component in investigational combinations</t>
        </is>
      </c>
      <c r="F8" s="83" t="inlineStr">
        <is>
          <t>2026E annualizes H1 2026. The decline curve explicitly reflects the US loss of exclusivity reported in 2026 and the disclosed 2027 EU date.</t>
        </is>
      </c>
      <c r="G8" s="83" t="inlineStr">
        <is>
          <t>US loss of exclusivity is already affecting 2026 results; the disclosed EU date is 2027, with additional regional patent layers extending later.</t>
        </is>
      </c>
      <c r="H8" s="83" t="inlineStr">
        <is>
          <t>2026: US LOE / erosion begins | 2027: EU LOE</t>
        </is>
      </c>
      <c r="I8" s="83" t="inlineStr">
        <is>
          <t>https://www.sec.gov/Archives/edgar/data/901832/000110465926019130/azn-20251231x20f.htm | https://www.rns-pdf.londonstockexchange.com/rns/9440N_1-2026-7-26.pdf</t>
        </is>
      </c>
    </row>
    <row r="9">
      <c r="A9" s="84" t="inlineStr">
        <is>
          <t>OPDIVO_FRANCHISE</t>
        </is>
      </c>
      <c r="B9" s="84" t="inlineStr">
        <is>
          <t>Bristol Myers Squibb</t>
        </is>
      </c>
      <c r="C9" s="84" t="inlineStr">
        <is>
          <t>Opdivo franchise</t>
        </is>
      </c>
      <c r="D9" s="84" t="inlineStr">
        <is>
          <t>nivolumab; includes Opdivo Qvantig from 2025</t>
        </is>
      </c>
      <c r="E9" s="84" t="inlineStr">
        <is>
          <t>Marketed component / IO franchise</t>
        </is>
      </c>
      <c r="F9" s="84" t="inlineStr">
        <is>
          <t>2026E annualizes H1 2026 Opdivo plus Opdivo Qvantig. The scenario then applies material erosion at the disclosed US, EU and Japan exclusivity dates.</t>
        </is>
      </c>
      <c r="G9" s="84" t="inlineStr">
        <is>
          <t>Disclosed minimum exclusivity dates for Opdivo: US 2028, EU 2030 and Japan 2031. The scenario applies sequential regional erosion.</t>
        </is>
      </c>
      <c r="H9" s="84" t="inlineStr">
        <is>
          <t>2028: US LOE | 2030: EU LOE | 2031: Japan LOE</t>
        </is>
      </c>
      <c r="I9" s="84" t="inlineStr">
        <is>
          <t>https://www.sec.gov/Archives/edgar/data/14272/000001427226000004/bmy-20251231.htm | https://www.bms.com/assets/bms/us/en-us/pdf/investor-info/doc_financials/quarterly_reports/2026/ghBMY-Q2-2026-Earnings-Press-Release.pdf</t>
        </is>
      </c>
    </row>
    <row r="10">
      <c r="A10" s="83" t="inlineStr">
        <is>
          <t>OPDUALAG</t>
        </is>
      </c>
      <c r="B10" s="83" t="inlineStr">
        <is>
          <t>Bristol Myers Squibb</t>
        </is>
      </c>
      <c r="C10" s="83" t="inlineStr">
        <is>
          <t>Opdualag</t>
        </is>
      </c>
      <c r="D10" s="83" t="inlineStr">
        <is>
          <t>nivolumab + relatlimab-rmbw</t>
        </is>
      </c>
      <c r="E10" s="83" t="inlineStr">
        <is>
          <t>Related marketed fixed-dose combination</t>
        </is>
      </c>
      <c r="F10" s="83" t="inlineStr">
        <is>
          <t>2026E annualizes H1 2026. A base-case cliff begins around the currently listed 2033-2034 dates; pending patent-term/SPC extensions could delay the decline.</t>
        </is>
      </c>
      <c r="G10" s="83" t="inlineStr">
        <is>
          <t>Current table: US 2034 and EU 2033; pending extensions could move US to 2036 and parts of Europe to 2038.</t>
        </is>
      </c>
      <c r="H10" s="83" t="inlineStr">
        <is>
          <t>2033: EU base date | 2034: US base date | 2036: Potential US extension</t>
        </is>
      </c>
      <c r="I10" s="83" t="inlineStr">
        <is>
          <t>https://www.sec.gov/Archives/edgar/data/14272/000001427226000004/bmy-20251231.htm | https://www.bms.com/assets/bms/us/en-us/pdf/investor-info/doc_financials/quarterly_reports/2026/ghBMY-Q2-2026-Earnings-Press-Release.pdf</t>
        </is>
      </c>
    </row>
    <row r="11">
      <c r="A11" s="84" t="inlineStr">
        <is>
          <t>BREYANZI</t>
        </is>
      </c>
      <c r="B11" s="84" t="inlineStr">
        <is>
          <t>Bristol Myers Squibb</t>
        </is>
      </c>
      <c r="C11" s="84" t="inlineStr">
        <is>
          <t>Breyanzi</t>
        </is>
      </c>
      <c r="D11" s="84" t="inlineStr">
        <is>
          <t>lisocabtagene maraleucel</t>
        </is>
      </c>
      <c r="E11" s="84" t="inlineStr">
        <is>
          <t>B-cell lymphoma cell-therapy benchmark</t>
        </is>
      </c>
      <c r="F11" s="84" t="inlineStr">
        <is>
          <t>2026E annualizes H1 2026. The scenario assumes continued uptake followed by erosion at the currently disclosed minimum exclusivity date.</t>
        </is>
      </c>
      <c r="G11" s="84" t="inlineStr">
        <is>
          <t>Current minimum exclusivity is 2033 across the US, EU and Japan; a US patent-term-restoration application could extend to 2034.</t>
        </is>
      </c>
      <c r="H11" s="84" t="inlineStr">
        <is>
          <t>2033: Current minimum LOE | 2034: Potential US extension</t>
        </is>
      </c>
      <c r="I11" s="84" t="inlineStr">
        <is>
          <t>https://www.sec.gov/Archives/edgar/data/14272/000001427226000004/bmy-20251231.htm | https://www.bms.com/assets/bms/us/en-us/pdf/investor-info/doc_financials/quarterly_reports/2026/ghBMY-Q2-2026-Earnings-Press-Release.pdf</t>
        </is>
      </c>
    </row>
    <row r="12">
      <c r="A12" s="83" t="inlineStr">
        <is>
          <t>CAMZYOS</t>
        </is>
      </c>
      <c r="B12" s="83" t="inlineStr">
        <is>
          <t>Bristol Myers Squibb</t>
        </is>
      </c>
      <c r="C12" s="83" t="inlineStr">
        <is>
          <t>Camzyos</t>
        </is>
      </c>
      <c r="D12" s="83" t="inlineStr">
        <is>
          <t>mavacamten</t>
        </is>
      </c>
      <c r="E12" s="83" t="inlineStr">
        <is>
          <t>Cardiac-myosin commercial benchmark</t>
        </is>
      </c>
      <c r="F12" s="83" t="inlineStr">
        <is>
          <t>2026E annualizes H1 2026. The scenario uses a maturing growth curve and applies erosion at the disclosed US patent expiry.</t>
        </is>
      </c>
      <c r="G12" s="83" t="inlineStr">
        <is>
          <t>US patent expiry is 2036; granted/pending extensions indicate 2038 in major European markets and 2039 in Japan.</t>
        </is>
      </c>
      <c r="H12" s="83" t="inlineStr">
        <is>
          <t>2036: US LOE</t>
        </is>
      </c>
      <c r="I12" s="83" t="inlineStr">
        <is>
          <t>https://www.sec.gov/Archives/edgar/data/14272/000001427226000004/bmy-20251231.htm | https://www.bms.com/assets/bms/us/en-us/pdf/investor-info/doc_financials/quarterly_reports/2026/ghBMY-Q2-2026-Earnings-Press-Release.pdf</t>
        </is>
      </c>
    </row>
    <row r="13">
      <c r="A13" s="84" t="inlineStr">
        <is>
          <t>REVLIMID</t>
        </is>
      </c>
      <c r="B13" s="84" t="inlineStr">
        <is>
          <t>Bristol Myers Squibb</t>
        </is>
      </c>
      <c r="C13" s="84" t="inlineStr">
        <is>
          <t>Revlimid</t>
        </is>
      </c>
      <c r="D13" s="84" t="inlineStr">
        <is>
          <t>lenalidomide</t>
        </is>
      </c>
      <c r="E13" s="84" t="inlineStr">
        <is>
          <t>Multiple-myeloma franchise benchmark</t>
        </is>
      </c>
      <c r="F13" s="84" t="inlineStr">
        <is>
          <t>2026E annualizes H1 2026. The decline reflects unrestricted US generic entry from 31 January 2026 and existing generic competition outside the US.</t>
        </is>
      </c>
      <c r="G13" s="84" t="inlineStr">
        <is>
          <t>US volume-limited generic licenses became unrestricted on 31 January 2026; generics are already present in Europe and Japan.</t>
        </is>
      </c>
      <c r="H13" s="84" t="inlineStr">
        <is>
          <t>2026: Unrestricted US generics</t>
        </is>
      </c>
      <c r="I13" s="84" t="inlineStr">
        <is>
          <t>https://www.sec.gov/Archives/edgar/data/14272/000001427226000004/bmy-20251231.htm | https://www.bms.com/assets/bms/us/en-us/pdf/investor-info/doc_financials/quarterly_reports/2026/ghBMY-Q2-2026-Earnings-Press-Release.pdf</t>
        </is>
      </c>
    </row>
    <row r="14">
      <c r="A14" s="83" t="inlineStr">
        <is>
          <t>POMALYST</t>
        </is>
      </c>
      <c r="B14" s="83" t="inlineStr">
        <is>
          <t>Bristol Myers Squibb</t>
        </is>
      </c>
      <c r="C14" s="83" t="inlineStr">
        <is>
          <t>Pomalyst / Imnovid</t>
        </is>
      </c>
      <c r="D14" s="83" t="inlineStr">
        <is>
          <t>pomalidomide</t>
        </is>
      </c>
      <c r="E14" s="83" t="inlineStr">
        <is>
          <t>Multiple-myeloma franchise benchmark</t>
        </is>
      </c>
      <c r="F14" s="83" t="inlineStr">
        <is>
          <t>2026E annualizes H1 2026. The decline reflects expected US generic entry in Q1 2026 and existing European generic competition.</t>
        </is>
      </c>
      <c r="G14" s="83" t="inlineStr">
        <is>
          <t>Generic entry was expected in the US in Q1 2026; generics are already present in Europe and the minimum Japanese exclusivity date is 2026.</t>
        </is>
      </c>
      <c r="H14" s="83" t="inlineStr">
        <is>
          <t>2026: US/Japan LOE</t>
        </is>
      </c>
      <c r="I14" s="83" t="inlineStr">
        <is>
          <t>https://www.sec.gov/Archives/edgar/data/14272/000001427226000004/bmy-20251231.htm | https://www.bms.com/assets/bms/us/en-us/pdf/investor-info/doc_financials/quarterly_reports/2026/ghBMY-Q2-2026-Earnings-Press-Release.pdf</t>
        </is>
      </c>
    </row>
  </sheetData>
  <autoFilter ref="A3:I14"/>
  <mergeCells count="1">
    <mergeCell ref="A1:I1"/>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O127"/>
  <sheetViews>
    <sheetView workbookViewId="0">
      <pane ySplit="4" topLeftCell="A5" activePane="bottomLeft" state="frozen"/>
      <selection pane="bottomLeft" activeCell="A1" sqref="A1"/>
    </sheetView>
  </sheetViews>
  <sheetFormatPr baseColWidth="8" defaultRowHeight="15"/>
  <cols>
    <col width="21" customWidth="1" min="1" max="1"/>
    <col width="23" customWidth="1" min="2" max="2"/>
    <col width="25" customWidth="1" min="3" max="3"/>
    <col width="31" customWidth="1" min="4" max="4"/>
    <col width="34" customWidth="1" min="5" max="5"/>
    <col width="12" customWidth="1" min="6" max="6"/>
    <col width="10" customWidth="1" min="7" max="7"/>
    <col width="18" customWidth="1" min="8" max="8"/>
    <col width="22" customWidth="1" min="9" max="9"/>
    <col width="23" customWidth="1" min="10" max="10"/>
    <col width="22" customWidth="1" min="11" max="11"/>
    <col width="30" customWidth="1" min="12" max="12"/>
    <col width="62" customWidth="1" min="13" max="13"/>
    <col width="65" customWidth="1" min="14" max="14"/>
    <col width="23" customWidth="1" min="15" max="15"/>
  </cols>
  <sheetData>
    <row r="1" ht="27" customHeight="1">
      <c r="A1" s="81" t="inlineStr">
        <is>
          <t>Reported sales and patent-adjusted analyst scenarios (USD millions)</t>
        </is>
      </c>
    </row>
    <row r="2">
      <c r="A2" s="85" t="inlineStr">
        <is>
          <t>Blue font = editable forecast assumption; green font = reported / sourced input; black = formula-derived. Projections are analyst scenarios, not company guidance or consensus.</t>
        </is>
      </c>
    </row>
    <row r="4" ht="31" customHeight="1">
      <c r="A4" s="82" t="inlineStr">
        <is>
          <t>Trend ID</t>
        </is>
      </c>
      <c r="B4" s="82" t="inlineStr">
        <is>
          <t>Company</t>
        </is>
      </c>
      <c r="C4" s="82" t="inlineStr">
        <is>
          <t>Product</t>
        </is>
      </c>
      <c r="D4" s="82" t="inlineStr">
        <is>
          <t>Generic / active</t>
        </is>
      </c>
      <c r="E4" s="82" t="inlineStr">
        <is>
          <t>Brand context</t>
        </is>
      </c>
      <c r="F4" s="82" t="inlineStr">
        <is>
          <t>Period</t>
        </is>
      </c>
      <c r="G4" s="82" t="inlineStr">
        <is>
          <t>Year</t>
        </is>
      </c>
      <c r="H4" s="82" t="inlineStr">
        <is>
          <t>Status</t>
        </is>
      </c>
      <c r="I4" s="82" t="inlineStr">
        <is>
          <t>Reported / input revenue ($m)</t>
        </is>
      </c>
      <c r="J4" s="82" t="inlineStr">
        <is>
          <t>Growth / multiplier assumption</t>
        </is>
      </c>
      <c r="K4" s="82" t="inlineStr">
        <is>
          <t>Calculated revenue ($m)</t>
        </is>
      </c>
      <c r="L4" s="82" t="inlineStr">
        <is>
          <t>Patent / LOE event</t>
        </is>
      </c>
      <c r="M4" s="82" t="inlineStr">
        <is>
          <t>Projection basis</t>
        </is>
      </c>
      <c r="N4" s="82" t="inlineStr">
        <is>
          <t>Source URL(s)</t>
        </is>
      </c>
      <c r="O4" s="82" t="inlineStr">
        <is>
          <t>Website display value ($m)</t>
        </is>
      </c>
    </row>
    <row r="5">
      <c r="A5" s="84" t="inlineStr">
        <is>
          <t>ETCAMAH</t>
        </is>
      </c>
      <c r="B5" s="84" t="inlineStr">
        <is>
          <t>AstraZeneca</t>
        </is>
      </c>
      <c r="C5" s="84" t="inlineStr">
        <is>
          <t>Etcamah</t>
        </is>
      </c>
      <c r="D5" s="84" t="inlineStr">
        <is>
          <t>camizestrant</t>
        </is>
      </c>
      <c r="E5" s="84" t="inlineStr">
        <is>
          <t>Approved asset brand</t>
        </is>
      </c>
      <c r="F5" s="84" t="inlineStr">
        <is>
          <t>H1 26</t>
        </is>
      </c>
      <c r="G5" s="84" t="n">
        <v>2026</v>
      </c>
      <c r="H5" s="84" t="inlineStr">
        <is>
          <t>reported-partial</t>
        </is>
      </c>
      <c r="I5" s="86" t="n">
        <v>3</v>
      </c>
      <c r="J5" s="87" t="n"/>
      <c r="K5" s="88">
        <f>I5</f>
        <v/>
      </c>
      <c r="L5" s="84" t="inlineStr"/>
      <c r="M5" s="84" t="inlineStr">
        <is>
          <t>Illustrative new-launch uptake scenario from the $3M H1 2026 starting point; not company guidance or consensus.</t>
        </is>
      </c>
      <c r="N5" s="84" t="inlineStr">
        <is>
          <t>https://www.rns-pdf.londonstockexchange.com/rns/9440N_1-2026-7-26.pdf | https://www.sec.gov/Archives/edgar/data/901832/000110465926019130/azn-20251231x20f.htm</t>
        </is>
      </c>
      <c r="O5" s="89" t="n">
        <v>3</v>
      </c>
    </row>
    <row r="6">
      <c r="A6" s="83" t="inlineStr">
        <is>
          <t>ETCAMAH</t>
        </is>
      </c>
      <c r="B6" s="83" t="inlineStr">
        <is>
          <t>AstraZeneca</t>
        </is>
      </c>
      <c r="C6" s="83" t="inlineStr">
        <is>
          <t>Etcamah</t>
        </is>
      </c>
      <c r="D6" s="83" t="inlineStr">
        <is>
          <t>camizestrant</t>
        </is>
      </c>
      <c r="E6" s="83" t="inlineStr">
        <is>
          <t>Approved asset brand</t>
        </is>
      </c>
      <c r="F6" s="83" t="inlineStr">
        <is>
          <t>2026E</t>
        </is>
      </c>
      <c r="G6" s="83" t="n">
        <v>2026.5</v>
      </c>
      <c r="H6" s="83" t="inlineStr">
        <is>
          <t>projected</t>
        </is>
      </c>
      <c r="I6" s="90" t="n"/>
      <c r="J6" s="91" t="n">
        <v>4</v>
      </c>
      <c r="K6" s="92">
        <f>K5*(1+J6)</f>
        <v/>
      </c>
      <c r="L6" s="83" t="inlineStr"/>
      <c r="M6" s="83" t="inlineStr">
        <is>
          <t>Illustrative new-launch uptake scenario from the $3M H1 2026 starting point; not company guidance or consensus.</t>
        </is>
      </c>
      <c r="N6" s="83" t="inlineStr">
        <is>
          <t>https://www.rns-pdf.londonstockexchange.com/rns/9440N_1-2026-7-26.pdf | https://www.sec.gov/Archives/edgar/data/901832/000110465926019130/azn-20251231x20f.htm</t>
        </is>
      </c>
      <c r="O6" s="90" t="n">
        <v>15</v>
      </c>
    </row>
    <row r="7">
      <c r="A7" s="84" t="inlineStr">
        <is>
          <t>ETCAMAH</t>
        </is>
      </c>
      <c r="B7" s="84" t="inlineStr">
        <is>
          <t>AstraZeneca</t>
        </is>
      </c>
      <c r="C7" s="84" t="inlineStr">
        <is>
          <t>Etcamah</t>
        </is>
      </c>
      <c r="D7" s="84" t="inlineStr">
        <is>
          <t>camizestrant</t>
        </is>
      </c>
      <c r="E7" s="84" t="inlineStr">
        <is>
          <t>Approved asset brand</t>
        </is>
      </c>
      <c r="F7" s="84" t="inlineStr">
        <is>
          <t>2027</t>
        </is>
      </c>
      <c r="G7" s="84" t="n">
        <v>2027</v>
      </c>
      <c r="H7" s="84" t="inlineStr">
        <is>
          <t>projected</t>
        </is>
      </c>
      <c r="I7" s="89" t="n"/>
      <c r="J7" s="93" t="n">
        <v>7</v>
      </c>
      <c r="K7" s="88">
        <f>K6*(1+J7)</f>
        <v/>
      </c>
      <c r="L7" s="84" t="inlineStr"/>
      <c r="M7" s="84" t="inlineStr">
        <is>
          <t>Illustrative new-launch uptake scenario from the $3M H1 2026 starting point; not company guidance or consensus.</t>
        </is>
      </c>
      <c r="N7" s="84" t="inlineStr">
        <is>
          <t>https://www.rns-pdf.londonstockexchange.com/rns/9440N_1-2026-7-26.pdf | https://www.sec.gov/Archives/edgar/data/901832/000110465926019130/azn-20251231x20f.htm</t>
        </is>
      </c>
      <c r="O7" s="89" t="n">
        <v>120</v>
      </c>
    </row>
    <row r="8">
      <c r="A8" s="83" t="inlineStr">
        <is>
          <t>ETCAMAH</t>
        </is>
      </c>
      <c r="B8" s="83" t="inlineStr">
        <is>
          <t>AstraZeneca</t>
        </is>
      </c>
      <c r="C8" s="83" t="inlineStr">
        <is>
          <t>Etcamah</t>
        </is>
      </c>
      <c r="D8" s="83" t="inlineStr">
        <is>
          <t>camizestrant</t>
        </is>
      </c>
      <c r="E8" s="83" t="inlineStr">
        <is>
          <t>Approved asset brand</t>
        </is>
      </c>
      <c r="F8" s="83" t="inlineStr">
        <is>
          <t>2028</t>
        </is>
      </c>
      <c r="G8" s="83" t="n">
        <v>2028</v>
      </c>
      <c r="H8" s="83" t="inlineStr">
        <is>
          <t>projected</t>
        </is>
      </c>
      <c r="I8" s="90" t="n"/>
      <c r="J8" s="91" t="n">
        <v>2</v>
      </c>
      <c r="K8" s="92">
        <f>K7*(1+J8)</f>
        <v/>
      </c>
      <c r="L8" s="83" t="inlineStr"/>
      <c r="M8" s="83" t="inlineStr">
        <is>
          <t>Illustrative new-launch uptake scenario from the $3M H1 2026 starting point; not company guidance or consensus.</t>
        </is>
      </c>
      <c r="N8" s="83" t="inlineStr">
        <is>
          <t>https://www.rns-pdf.londonstockexchange.com/rns/9440N_1-2026-7-26.pdf | https://www.sec.gov/Archives/edgar/data/901832/000110465926019130/azn-20251231x20f.htm</t>
        </is>
      </c>
      <c r="O8" s="90" t="n">
        <v>360</v>
      </c>
    </row>
    <row r="9">
      <c r="A9" s="84" t="inlineStr">
        <is>
          <t>ETCAMAH</t>
        </is>
      </c>
      <c r="B9" s="84" t="inlineStr">
        <is>
          <t>AstraZeneca</t>
        </is>
      </c>
      <c r="C9" s="84" t="inlineStr">
        <is>
          <t>Etcamah</t>
        </is>
      </c>
      <c r="D9" s="84" t="inlineStr">
        <is>
          <t>camizestrant</t>
        </is>
      </c>
      <c r="E9" s="84" t="inlineStr">
        <is>
          <t>Approved asset brand</t>
        </is>
      </c>
      <c r="F9" s="84" t="inlineStr">
        <is>
          <t>2029</t>
        </is>
      </c>
      <c r="G9" s="84" t="n">
        <v>2029</v>
      </c>
      <c r="H9" s="84" t="inlineStr">
        <is>
          <t>projected</t>
        </is>
      </c>
      <c r="I9" s="89" t="n"/>
      <c r="J9" s="93" t="n">
        <v>0.9444444444444444</v>
      </c>
      <c r="K9" s="88">
        <f>K8*(1+J9)</f>
        <v/>
      </c>
      <c r="L9" s="84" t="inlineStr"/>
      <c r="M9" s="84" t="inlineStr">
        <is>
          <t>Illustrative new-launch uptake scenario from the $3M H1 2026 starting point; not company guidance or consensus.</t>
        </is>
      </c>
      <c r="N9" s="84" t="inlineStr">
        <is>
          <t>https://www.rns-pdf.londonstockexchange.com/rns/9440N_1-2026-7-26.pdf | https://www.sec.gov/Archives/edgar/data/901832/000110465926019130/azn-20251231x20f.htm</t>
        </is>
      </c>
      <c r="O9" s="89" t="n">
        <v>700</v>
      </c>
    </row>
    <row r="10">
      <c r="A10" s="83" t="inlineStr">
        <is>
          <t>ETCAMAH</t>
        </is>
      </c>
      <c r="B10" s="83" t="inlineStr">
        <is>
          <t>AstraZeneca</t>
        </is>
      </c>
      <c r="C10" s="83" t="inlineStr">
        <is>
          <t>Etcamah</t>
        </is>
      </c>
      <c r="D10" s="83" t="inlineStr">
        <is>
          <t>camizestrant</t>
        </is>
      </c>
      <c r="E10" s="83" t="inlineStr">
        <is>
          <t>Approved asset brand</t>
        </is>
      </c>
      <c r="F10" s="83" t="inlineStr">
        <is>
          <t>2030</t>
        </is>
      </c>
      <c r="G10" s="83" t="n">
        <v>2030</v>
      </c>
      <c r="H10" s="83" t="inlineStr">
        <is>
          <t>projected</t>
        </is>
      </c>
      <c r="I10" s="90" t="n"/>
      <c r="J10" s="91" t="n">
        <v>0.4285714285714286</v>
      </c>
      <c r="K10" s="92">
        <f>K9*(1+J10)</f>
        <v/>
      </c>
      <c r="L10" s="83" t="inlineStr"/>
      <c r="M10" s="83" t="inlineStr">
        <is>
          <t>Illustrative new-launch uptake scenario from the $3M H1 2026 starting point; not company guidance or consensus.</t>
        </is>
      </c>
      <c r="N10" s="83" t="inlineStr">
        <is>
          <t>https://www.rns-pdf.londonstockexchange.com/rns/9440N_1-2026-7-26.pdf | https://www.sec.gov/Archives/edgar/data/901832/000110465926019130/azn-20251231x20f.htm</t>
        </is>
      </c>
      <c r="O10" s="90" t="n">
        <v>1000</v>
      </c>
    </row>
    <row r="11">
      <c r="A11" s="84" t="inlineStr">
        <is>
          <t>ETCAMAH</t>
        </is>
      </c>
      <c r="B11" s="84" t="inlineStr">
        <is>
          <t>AstraZeneca</t>
        </is>
      </c>
      <c r="C11" s="84" t="inlineStr">
        <is>
          <t>Etcamah</t>
        </is>
      </c>
      <c r="D11" s="84" t="inlineStr">
        <is>
          <t>camizestrant</t>
        </is>
      </c>
      <c r="E11" s="84" t="inlineStr">
        <is>
          <t>Approved asset brand</t>
        </is>
      </c>
      <c r="F11" s="84" t="inlineStr">
        <is>
          <t>2031</t>
        </is>
      </c>
      <c r="G11" s="84" t="n">
        <v>2031</v>
      </c>
      <c r="H11" s="84" t="inlineStr">
        <is>
          <t>projected</t>
        </is>
      </c>
      <c r="I11" s="89" t="n"/>
      <c r="J11" s="93" t="n">
        <v>0.25</v>
      </c>
      <c r="K11" s="88">
        <f>K10*(1+J11)</f>
        <v/>
      </c>
      <c r="L11" s="84" t="inlineStr"/>
      <c r="M11" s="84" t="inlineStr">
        <is>
          <t>Illustrative new-launch uptake scenario from the $3M H1 2026 starting point; not company guidance or consensus.</t>
        </is>
      </c>
      <c r="N11" s="84" t="inlineStr">
        <is>
          <t>https://www.rns-pdf.londonstockexchange.com/rns/9440N_1-2026-7-26.pdf | https://www.sec.gov/Archives/edgar/data/901832/000110465926019130/azn-20251231x20f.htm</t>
        </is>
      </c>
      <c r="O11" s="89" t="n">
        <v>1250</v>
      </c>
    </row>
    <row r="12">
      <c r="A12" s="83" t="n"/>
      <c r="B12" s="83" t="n"/>
      <c r="C12" s="83" t="n"/>
      <c r="D12" s="83" t="n"/>
      <c r="E12" s="83" t="n"/>
      <c r="F12" s="83" t="n"/>
      <c r="G12" s="83" t="n"/>
      <c r="H12" s="83" t="n"/>
      <c r="I12" s="90" t="n"/>
      <c r="J12" s="94" t="n"/>
      <c r="K12" s="90" t="n"/>
      <c r="L12" s="83" t="n"/>
      <c r="M12" s="83" t="n"/>
      <c r="N12" s="83" t="n"/>
      <c r="O12" s="90" t="n"/>
    </row>
    <row r="13">
      <c r="A13" s="84" t="inlineStr">
        <is>
          <t>BAXFENDY</t>
        </is>
      </c>
      <c r="B13" s="84" t="inlineStr">
        <is>
          <t>AstraZeneca</t>
        </is>
      </c>
      <c r="C13" s="84" t="inlineStr">
        <is>
          <t>Baxfendy</t>
        </is>
      </c>
      <c r="D13" s="84" t="inlineStr">
        <is>
          <t>baxdrostat</t>
        </is>
      </c>
      <c r="E13" s="84" t="inlineStr">
        <is>
          <t>Approved asset brand</t>
        </is>
      </c>
      <c r="F13" s="84" t="inlineStr">
        <is>
          <t>H1 26</t>
        </is>
      </c>
      <c r="G13" s="84" t="n">
        <v>2026</v>
      </c>
      <c r="H13" s="84" t="inlineStr">
        <is>
          <t>reported-partial</t>
        </is>
      </c>
      <c r="I13" s="86" t="n">
        <v>3</v>
      </c>
      <c r="J13" s="87" t="n"/>
      <c r="K13" s="88">
        <f>I13</f>
        <v/>
      </c>
      <c r="L13" s="84" t="inlineStr"/>
      <c r="M13" s="84" t="inlineStr">
        <is>
          <t>Illustrative new-launch uptake scenario from the $3M H1 2026 starting point; not company guidance or consensus.</t>
        </is>
      </c>
      <c r="N13" s="84" t="inlineStr">
        <is>
          <t>https://www.rns-pdf.londonstockexchange.com/rns/9440N_1-2026-7-26.pdf | https://www.sec.gov/Archives/edgar/data/901832/000110465926019130/azn-20251231x20f.htm</t>
        </is>
      </c>
      <c r="O13" s="89" t="n">
        <v>3</v>
      </c>
    </row>
    <row r="14">
      <c r="A14" s="83" t="inlineStr">
        <is>
          <t>BAXFENDY</t>
        </is>
      </c>
      <c r="B14" s="83" t="inlineStr">
        <is>
          <t>AstraZeneca</t>
        </is>
      </c>
      <c r="C14" s="83" t="inlineStr">
        <is>
          <t>Baxfendy</t>
        </is>
      </c>
      <c r="D14" s="83" t="inlineStr">
        <is>
          <t>baxdrostat</t>
        </is>
      </c>
      <c r="E14" s="83" t="inlineStr">
        <is>
          <t>Approved asset brand</t>
        </is>
      </c>
      <c r="F14" s="83" t="inlineStr">
        <is>
          <t>2026E</t>
        </is>
      </c>
      <c r="G14" s="83" t="n">
        <v>2026.5</v>
      </c>
      <c r="H14" s="83" t="inlineStr">
        <is>
          <t>projected</t>
        </is>
      </c>
      <c r="I14" s="90" t="n"/>
      <c r="J14" s="91" t="n">
        <v>4</v>
      </c>
      <c r="K14" s="92">
        <f>K13*(1+J14)</f>
        <v/>
      </c>
      <c r="L14" s="83" t="inlineStr"/>
      <c r="M14" s="83" t="inlineStr">
        <is>
          <t>Illustrative new-launch uptake scenario from the $3M H1 2026 starting point; not company guidance or consensus.</t>
        </is>
      </c>
      <c r="N14" s="83" t="inlineStr">
        <is>
          <t>https://www.rns-pdf.londonstockexchange.com/rns/9440N_1-2026-7-26.pdf | https://www.sec.gov/Archives/edgar/data/901832/000110465926019130/azn-20251231x20f.htm</t>
        </is>
      </c>
      <c r="O14" s="90" t="n">
        <v>15</v>
      </c>
    </row>
    <row r="15">
      <c r="A15" s="84" t="inlineStr">
        <is>
          <t>BAXFENDY</t>
        </is>
      </c>
      <c r="B15" s="84" t="inlineStr">
        <is>
          <t>AstraZeneca</t>
        </is>
      </c>
      <c r="C15" s="84" t="inlineStr">
        <is>
          <t>Baxfendy</t>
        </is>
      </c>
      <c r="D15" s="84" t="inlineStr">
        <is>
          <t>baxdrostat</t>
        </is>
      </c>
      <c r="E15" s="84" t="inlineStr">
        <is>
          <t>Approved asset brand</t>
        </is>
      </c>
      <c r="F15" s="84" t="inlineStr">
        <is>
          <t>2027</t>
        </is>
      </c>
      <c r="G15" s="84" t="n">
        <v>2027</v>
      </c>
      <c r="H15" s="84" t="inlineStr">
        <is>
          <t>projected</t>
        </is>
      </c>
      <c r="I15" s="89" t="n"/>
      <c r="J15" s="93" t="n">
        <v>9</v>
      </c>
      <c r="K15" s="88">
        <f>K14*(1+J15)</f>
        <v/>
      </c>
      <c r="L15" s="84" t="inlineStr"/>
      <c r="M15" s="84" t="inlineStr">
        <is>
          <t>Illustrative new-launch uptake scenario from the $3M H1 2026 starting point; not company guidance or consensus.</t>
        </is>
      </c>
      <c r="N15" s="84" t="inlineStr">
        <is>
          <t>https://www.rns-pdf.londonstockexchange.com/rns/9440N_1-2026-7-26.pdf | https://www.sec.gov/Archives/edgar/data/901832/000110465926019130/azn-20251231x20f.htm</t>
        </is>
      </c>
      <c r="O15" s="89" t="n">
        <v>150</v>
      </c>
    </row>
    <row r="16">
      <c r="A16" s="83" t="inlineStr">
        <is>
          <t>BAXFENDY</t>
        </is>
      </c>
      <c r="B16" s="83" t="inlineStr">
        <is>
          <t>AstraZeneca</t>
        </is>
      </c>
      <c r="C16" s="83" t="inlineStr">
        <is>
          <t>Baxfendy</t>
        </is>
      </c>
      <c r="D16" s="83" t="inlineStr">
        <is>
          <t>baxdrostat</t>
        </is>
      </c>
      <c r="E16" s="83" t="inlineStr">
        <is>
          <t>Approved asset brand</t>
        </is>
      </c>
      <c r="F16" s="83" t="inlineStr">
        <is>
          <t>2028</t>
        </is>
      </c>
      <c r="G16" s="83" t="n">
        <v>2028</v>
      </c>
      <c r="H16" s="83" t="inlineStr">
        <is>
          <t>projected</t>
        </is>
      </c>
      <c r="I16" s="90" t="n"/>
      <c r="J16" s="91" t="n">
        <v>2</v>
      </c>
      <c r="K16" s="92">
        <f>K15*(1+J16)</f>
        <v/>
      </c>
      <c r="L16" s="83" t="inlineStr"/>
      <c r="M16" s="83" t="inlineStr">
        <is>
          <t>Illustrative new-launch uptake scenario from the $3M H1 2026 starting point; not company guidance or consensus.</t>
        </is>
      </c>
      <c r="N16" s="83" t="inlineStr">
        <is>
          <t>https://www.rns-pdf.londonstockexchange.com/rns/9440N_1-2026-7-26.pdf | https://www.sec.gov/Archives/edgar/data/901832/000110465926019130/azn-20251231x20f.htm</t>
        </is>
      </c>
      <c r="O16" s="90" t="n">
        <v>450</v>
      </c>
    </row>
    <row r="17">
      <c r="A17" s="84" t="inlineStr">
        <is>
          <t>BAXFENDY</t>
        </is>
      </c>
      <c r="B17" s="84" t="inlineStr">
        <is>
          <t>AstraZeneca</t>
        </is>
      </c>
      <c r="C17" s="84" t="inlineStr">
        <is>
          <t>Baxfendy</t>
        </is>
      </c>
      <c r="D17" s="84" t="inlineStr">
        <is>
          <t>baxdrostat</t>
        </is>
      </c>
      <c r="E17" s="84" t="inlineStr">
        <is>
          <t>Approved asset brand</t>
        </is>
      </c>
      <c r="F17" s="84" t="inlineStr">
        <is>
          <t>2029</t>
        </is>
      </c>
      <c r="G17" s="84" t="n">
        <v>2029</v>
      </c>
      <c r="H17" s="84" t="inlineStr">
        <is>
          <t>projected</t>
        </is>
      </c>
      <c r="I17" s="89" t="n"/>
      <c r="J17" s="93" t="n">
        <v>0.8888888888888888</v>
      </c>
      <c r="K17" s="88">
        <f>K16*(1+J17)</f>
        <v/>
      </c>
      <c r="L17" s="84" t="inlineStr"/>
      <c r="M17" s="84" t="inlineStr">
        <is>
          <t>Illustrative new-launch uptake scenario from the $3M H1 2026 starting point; not company guidance or consensus.</t>
        </is>
      </c>
      <c r="N17" s="84" t="inlineStr">
        <is>
          <t>https://www.rns-pdf.londonstockexchange.com/rns/9440N_1-2026-7-26.pdf | https://www.sec.gov/Archives/edgar/data/901832/000110465926019130/azn-20251231x20f.htm</t>
        </is>
      </c>
      <c r="O17" s="89" t="n">
        <v>850</v>
      </c>
    </row>
    <row r="18">
      <c r="A18" s="83" t="inlineStr">
        <is>
          <t>BAXFENDY</t>
        </is>
      </c>
      <c r="B18" s="83" t="inlineStr">
        <is>
          <t>AstraZeneca</t>
        </is>
      </c>
      <c r="C18" s="83" t="inlineStr">
        <is>
          <t>Baxfendy</t>
        </is>
      </c>
      <c r="D18" s="83" t="inlineStr">
        <is>
          <t>baxdrostat</t>
        </is>
      </c>
      <c r="E18" s="83" t="inlineStr">
        <is>
          <t>Approved asset brand</t>
        </is>
      </c>
      <c r="F18" s="83" t="inlineStr">
        <is>
          <t>2030</t>
        </is>
      </c>
      <c r="G18" s="83" t="n">
        <v>2030</v>
      </c>
      <c r="H18" s="83" t="inlineStr">
        <is>
          <t>projected</t>
        </is>
      </c>
      <c r="I18" s="90" t="n"/>
      <c r="J18" s="91" t="n">
        <v>0.4705882352941178</v>
      </c>
      <c r="K18" s="92">
        <f>K17*(1+J18)</f>
        <v/>
      </c>
      <c r="L18" s="83" t="inlineStr"/>
      <c r="M18" s="83" t="inlineStr">
        <is>
          <t>Illustrative new-launch uptake scenario from the $3M H1 2026 starting point; not company guidance or consensus.</t>
        </is>
      </c>
      <c r="N18" s="83" t="inlineStr">
        <is>
          <t>https://www.rns-pdf.londonstockexchange.com/rns/9440N_1-2026-7-26.pdf | https://www.sec.gov/Archives/edgar/data/901832/000110465926019130/azn-20251231x20f.htm</t>
        </is>
      </c>
      <c r="O18" s="90" t="n">
        <v>1250</v>
      </c>
    </row>
    <row r="19">
      <c r="A19" s="84" t="inlineStr">
        <is>
          <t>BAXFENDY</t>
        </is>
      </c>
      <c r="B19" s="84" t="inlineStr">
        <is>
          <t>AstraZeneca</t>
        </is>
      </c>
      <c r="C19" s="84" t="inlineStr">
        <is>
          <t>Baxfendy</t>
        </is>
      </c>
      <c r="D19" s="84" t="inlineStr">
        <is>
          <t>baxdrostat</t>
        </is>
      </c>
      <c r="E19" s="84" t="inlineStr">
        <is>
          <t>Approved asset brand</t>
        </is>
      </c>
      <c r="F19" s="84" t="inlineStr">
        <is>
          <t>2031</t>
        </is>
      </c>
      <c r="G19" s="84" t="n">
        <v>2031</v>
      </c>
      <c r="H19" s="84" t="inlineStr">
        <is>
          <t>projected</t>
        </is>
      </c>
      <c r="I19" s="89" t="n"/>
      <c r="J19" s="93" t="n">
        <v>0.24</v>
      </c>
      <c r="K19" s="88">
        <f>K18*(1+J19)</f>
        <v/>
      </c>
      <c r="L19" s="84" t="inlineStr"/>
      <c r="M19" s="84" t="inlineStr">
        <is>
          <t>Illustrative new-launch uptake scenario from the $3M H1 2026 starting point; not company guidance or consensus.</t>
        </is>
      </c>
      <c r="N19" s="84" t="inlineStr">
        <is>
          <t>https://www.rns-pdf.londonstockexchange.com/rns/9440N_1-2026-7-26.pdf | https://www.sec.gov/Archives/edgar/data/901832/000110465926019130/azn-20251231x20f.htm</t>
        </is>
      </c>
      <c r="O19" s="89" t="n">
        <v>1550</v>
      </c>
    </row>
    <row r="20">
      <c r="A20" s="83" t="n"/>
      <c r="B20" s="83" t="n"/>
      <c r="C20" s="83" t="n"/>
      <c r="D20" s="83" t="n"/>
      <c r="E20" s="83" t="n"/>
      <c r="F20" s="83" t="n"/>
      <c r="G20" s="83" t="n"/>
      <c r="H20" s="83" t="n"/>
      <c r="I20" s="90" t="n"/>
      <c r="J20" s="94" t="n"/>
      <c r="K20" s="90" t="n"/>
      <c r="L20" s="83" t="n"/>
      <c r="M20" s="83" t="n"/>
      <c r="N20" s="83" t="n"/>
      <c r="O20" s="90" t="n"/>
    </row>
    <row r="21">
      <c r="A21" s="84" t="inlineStr">
        <is>
          <t>TAGRISSO</t>
        </is>
      </c>
      <c r="B21" s="84" t="inlineStr">
        <is>
          <t>AstraZeneca</t>
        </is>
      </c>
      <c r="C21" s="84" t="inlineStr">
        <is>
          <t>Tagrisso</t>
        </is>
      </c>
      <c r="D21" s="84" t="inlineStr">
        <is>
          <t>osimertinib</t>
        </is>
      </c>
      <c r="E21" s="84" t="inlineStr">
        <is>
          <t>NSCLC commercial benchmark</t>
        </is>
      </c>
      <c r="F21" s="84" t="inlineStr">
        <is>
          <t>2023</t>
        </is>
      </c>
      <c r="G21" s="84" t="n">
        <v>2023</v>
      </c>
      <c r="H21" s="84" t="inlineStr">
        <is>
          <t>reported</t>
        </is>
      </c>
      <c r="I21" s="86" t="n">
        <v>5799</v>
      </c>
      <c r="J21" s="87" t="n"/>
      <c r="K21" s="88">
        <f>I21</f>
        <v/>
      </c>
      <c r="L21" s="84" t="inlineStr"/>
      <c r="M21" s="84" t="inlineStr">
        <is>
          <t>2026E annualizes H1 2026. Thereafter an illustrative slowing-growth curve is followed by modeled erosion beginning at the earliest disclosed 2032 exclusivity date.</t>
        </is>
      </c>
      <c r="N21" s="84" t="inlineStr">
        <is>
          <t>https://www.sec.gov/Archives/edgar/data/901832/000110465926019130/azn-20251231x20f.htm | https://www.rns-pdf.londonstockexchange.com/rns/9440N_1-2026-7-26.pdf</t>
        </is>
      </c>
      <c r="O21" s="89" t="n">
        <v>5799</v>
      </c>
    </row>
    <row r="22">
      <c r="A22" s="83" t="inlineStr">
        <is>
          <t>TAGRISSO</t>
        </is>
      </c>
      <c r="B22" s="83" t="inlineStr">
        <is>
          <t>AstraZeneca</t>
        </is>
      </c>
      <c r="C22" s="83" t="inlineStr">
        <is>
          <t>Tagrisso</t>
        </is>
      </c>
      <c r="D22" s="83" t="inlineStr">
        <is>
          <t>osimertinib</t>
        </is>
      </c>
      <c r="E22" s="83" t="inlineStr">
        <is>
          <t>NSCLC commercial benchmark</t>
        </is>
      </c>
      <c r="F22" s="83" t="inlineStr">
        <is>
          <t>2024</t>
        </is>
      </c>
      <c r="G22" s="83" t="n">
        <v>2024</v>
      </c>
      <c r="H22" s="83" t="inlineStr">
        <is>
          <t>reported</t>
        </is>
      </c>
      <c r="I22" s="95" t="n">
        <v>6580</v>
      </c>
      <c r="J22" s="94" t="n"/>
      <c r="K22" s="92">
        <f>I22</f>
        <v/>
      </c>
      <c r="L22" s="83" t="inlineStr"/>
      <c r="M22" s="83" t="inlineStr">
        <is>
          <t>2026E annualizes H1 2026. Thereafter an illustrative slowing-growth curve is followed by modeled erosion beginning at the earliest disclosed 2032 exclusivity date.</t>
        </is>
      </c>
      <c r="N22" s="83" t="inlineStr">
        <is>
          <t>https://www.sec.gov/Archives/edgar/data/901832/000110465926019130/azn-20251231x20f.htm | https://www.rns-pdf.londonstockexchange.com/rns/9440N_1-2026-7-26.pdf</t>
        </is>
      </c>
      <c r="O22" s="90" t="n">
        <v>6580</v>
      </c>
    </row>
    <row r="23">
      <c r="A23" s="84" t="inlineStr">
        <is>
          <t>TAGRISSO</t>
        </is>
      </c>
      <c r="B23" s="84" t="inlineStr">
        <is>
          <t>AstraZeneca</t>
        </is>
      </c>
      <c r="C23" s="84" t="inlineStr">
        <is>
          <t>Tagrisso</t>
        </is>
      </c>
      <c r="D23" s="84" t="inlineStr">
        <is>
          <t>osimertinib</t>
        </is>
      </c>
      <c r="E23" s="84" t="inlineStr">
        <is>
          <t>NSCLC commercial benchmark</t>
        </is>
      </c>
      <c r="F23" s="84" t="inlineStr">
        <is>
          <t>2025</t>
        </is>
      </c>
      <c r="G23" s="84" t="n">
        <v>2025</v>
      </c>
      <c r="H23" s="84" t="inlineStr">
        <is>
          <t>reported</t>
        </is>
      </c>
      <c r="I23" s="86" t="n">
        <v>7254</v>
      </c>
      <c r="J23" s="87" t="n"/>
      <c r="K23" s="88">
        <f>I23</f>
        <v/>
      </c>
      <c r="L23" s="84" t="inlineStr"/>
      <c r="M23" s="84" t="inlineStr">
        <is>
          <t>2026E annualizes H1 2026. Thereafter an illustrative slowing-growth curve is followed by modeled erosion beginning at the earliest disclosed 2032 exclusivity date.</t>
        </is>
      </c>
      <c r="N23" s="84" t="inlineStr">
        <is>
          <t>https://www.sec.gov/Archives/edgar/data/901832/000110465926019130/azn-20251231x20f.htm | https://www.rns-pdf.londonstockexchange.com/rns/9440N_1-2026-7-26.pdf</t>
        </is>
      </c>
      <c r="O23" s="89" t="n">
        <v>7254</v>
      </c>
    </row>
    <row r="24">
      <c r="A24" s="83" t="inlineStr">
        <is>
          <t>TAGRISSO</t>
        </is>
      </c>
      <c r="B24" s="83" t="inlineStr">
        <is>
          <t>AstraZeneca</t>
        </is>
      </c>
      <c r="C24" s="83" t="inlineStr">
        <is>
          <t>Tagrisso</t>
        </is>
      </c>
      <c r="D24" s="83" t="inlineStr">
        <is>
          <t>osimertinib</t>
        </is>
      </c>
      <c r="E24" s="83" t="inlineStr">
        <is>
          <t>NSCLC commercial benchmark</t>
        </is>
      </c>
      <c r="F24" s="83" t="inlineStr">
        <is>
          <t>2026E</t>
        </is>
      </c>
      <c r="G24" s="83" t="n">
        <v>2026</v>
      </c>
      <c r="H24" s="83" t="inlineStr">
        <is>
          <t>projected</t>
        </is>
      </c>
      <c r="I24" s="90" t="n"/>
      <c r="J24" s="91" t="n">
        <v>0.04080507306313752</v>
      </c>
      <c r="K24" s="92">
        <f>K23*(1+J24)</f>
        <v/>
      </c>
      <c r="L24" s="83" t="inlineStr"/>
      <c r="M24" s="83" t="inlineStr">
        <is>
          <t>2026E annualizes H1 2026. Thereafter an illustrative slowing-growth curve is followed by modeled erosion beginning at the earliest disclosed 2032 exclusivity date.</t>
        </is>
      </c>
      <c r="N24" s="83" t="inlineStr">
        <is>
          <t>https://www.sec.gov/Archives/edgar/data/901832/000110465926019130/azn-20251231x20f.htm | https://www.rns-pdf.londonstockexchange.com/rns/9440N_1-2026-7-26.pdf</t>
        </is>
      </c>
      <c r="O24" s="90" t="n">
        <v>7550</v>
      </c>
    </row>
    <row r="25">
      <c r="A25" s="84" t="inlineStr">
        <is>
          <t>TAGRISSO</t>
        </is>
      </c>
      <c r="B25" s="84" t="inlineStr">
        <is>
          <t>AstraZeneca</t>
        </is>
      </c>
      <c r="C25" s="84" t="inlineStr">
        <is>
          <t>Tagrisso</t>
        </is>
      </c>
      <c r="D25" s="84" t="inlineStr">
        <is>
          <t>osimertinib</t>
        </is>
      </c>
      <c r="E25" s="84" t="inlineStr">
        <is>
          <t>NSCLC commercial benchmark</t>
        </is>
      </c>
      <c r="F25" s="84" t="inlineStr">
        <is>
          <t>2027</t>
        </is>
      </c>
      <c r="G25" s="84" t="n">
        <v>2027</v>
      </c>
      <c r="H25" s="84" t="inlineStr">
        <is>
          <t>projected</t>
        </is>
      </c>
      <c r="I25" s="89" t="n"/>
      <c r="J25" s="93" t="n">
        <v>0.07006622516556282</v>
      </c>
      <c r="K25" s="88">
        <f>K24*(1+J25)</f>
        <v/>
      </c>
      <c r="L25" s="84" t="inlineStr"/>
      <c r="M25" s="84" t="inlineStr">
        <is>
          <t>2026E annualizes H1 2026. Thereafter an illustrative slowing-growth curve is followed by modeled erosion beginning at the earliest disclosed 2032 exclusivity date.</t>
        </is>
      </c>
      <c r="N25" s="84" t="inlineStr">
        <is>
          <t>https://www.sec.gov/Archives/edgar/data/901832/000110465926019130/azn-20251231x20f.htm | https://www.rns-pdf.londonstockexchange.com/rns/9440N_1-2026-7-26.pdf</t>
        </is>
      </c>
      <c r="O25" s="89" t="n">
        <v>8079</v>
      </c>
    </row>
    <row r="26">
      <c r="A26" s="83" t="inlineStr">
        <is>
          <t>TAGRISSO</t>
        </is>
      </c>
      <c r="B26" s="83" t="inlineStr">
        <is>
          <t>AstraZeneca</t>
        </is>
      </c>
      <c r="C26" s="83" t="inlineStr">
        <is>
          <t>Tagrisso</t>
        </is>
      </c>
      <c r="D26" s="83" t="inlineStr">
        <is>
          <t>osimertinib</t>
        </is>
      </c>
      <c r="E26" s="83" t="inlineStr">
        <is>
          <t>NSCLC commercial benchmark</t>
        </is>
      </c>
      <c r="F26" s="83" t="inlineStr">
        <is>
          <t>2028</t>
        </is>
      </c>
      <c r="G26" s="83" t="n">
        <v>2028</v>
      </c>
      <c r="H26" s="83" t="inlineStr">
        <is>
          <t>projected</t>
        </is>
      </c>
      <c r="I26" s="90" t="n"/>
      <c r="J26" s="91" t="n">
        <v>0.06003218220076745</v>
      </c>
      <c r="K26" s="92">
        <f>K25*(1+J26)</f>
        <v/>
      </c>
      <c r="L26" s="83" t="inlineStr"/>
      <c r="M26" s="83" t="inlineStr">
        <is>
          <t>2026E annualizes H1 2026. Thereafter an illustrative slowing-growth curve is followed by modeled erosion beginning at the earliest disclosed 2032 exclusivity date.</t>
        </is>
      </c>
      <c r="N26" s="83" t="inlineStr">
        <is>
          <t>https://www.sec.gov/Archives/edgar/data/901832/000110465926019130/azn-20251231x20f.htm | https://www.rns-pdf.londonstockexchange.com/rns/9440N_1-2026-7-26.pdf</t>
        </is>
      </c>
      <c r="O26" s="90" t="n">
        <v>8564</v>
      </c>
    </row>
    <row r="27">
      <c r="A27" s="84" t="inlineStr">
        <is>
          <t>TAGRISSO</t>
        </is>
      </c>
      <c r="B27" s="84" t="inlineStr">
        <is>
          <t>AstraZeneca</t>
        </is>
      </c>
      <c r="C27" s="84" t="inlineStr">
        <is>
          <t>Tagrisso</t>
        </is>
      </c>
      <c r="D27" s="84" t="inlineStr">
        <is>
          <t>osimertinib</t>
        </is>
      </c>
      <c r="E27" s="84" t="inlineStr">
        <is>
          <t>NSCLC commercial benchmark</t>
        </is>
      </c>
      <c r="F27" s="84" t="inlineStr">
        <is>
          <t>2029</t>
        </is>
      </c>
      <c r="G27" s="84" t="n">
        <v>2029</v>
      </c>
      <c r="H27" s="84" t="inlineStr">
        <is>
          <t>projected</t>
        </is>
      </c>
      <c r="I27" s="89" t="n"/>
      <c r="J27" s="93" t="n">
        <v>0.04997664642690336</v>
      </c>
      <c r="K27" s="88">
        <f>K26*(1+J27)</f>
        <v/>
      </c>
      <c r="L27" s="84" t="inlineStr"/>
      <c r="M27" s="84" t="inlineStr">
        <is>
          <t>2026E annualizes H1 2026. Thereafter an illustrative slowing-growth curve is followed by modeled erosion beginning at the earliest disclosed 2032 exclusivity date.</t>
        </is>
      </c>
      <c r="N27" s="84" t="inlineStr">
        <is>
          <t>https://www.sec.gov/Archives/edgar/data/901832/000110465926019130/azn-20251231x20f.htm | https://www.rns-pdf.londonstockexchange.com/rns/9440N_1-2026-7-26.pdf</t>
        </is>
      </c>
      <c r="O27" s="89" t="n">
        <v>8992</v>
      </c>
    </row>
    <row r="28">
      <c r="A28" s="83" t="inlineStr">
        <is>
          <t>TAGRISSO</t>
        </is>
      </c>
      <c r="B28" s="83" t="inlineStr">
        <is>
          <t>AstraZeneca</t>
        </is>
      </c>
      <c r="C28" s="83" t="inlineStr">
        <is>
          <t>Tagrisso</t>
        </is>
      </c>
      <c r="D28" s="83" t="inlineStr">
        <is>
          <t>osimertinib</t>
        </is>
      </c>
      <c r="E28" s="83" t="inlineStr">
        <is>
          <t>NSCLC commercial benchmark</t>
        </is>
      </c>
      <c r="F28" s="83" t="inlineStr">
        <is>
          <t>2030</t>
        </is>
      </c>
      <c r="G28" s="83" t="n">
        <v>2030</v>
      </c>
      <c r="H28" s="83" t="inlineStr">
        <is>
          <t>projected</t>
        </is>
      </c>
      <c r="I28" s="90" t="n"/>
      <c r="J28" s="91" t="n">
        <v>0.040035587188612</v>
      </c>
      <c r="K28" s="92">
        <f>K27*(1+J28)</f>
        <v/>
      </c>
      <c r="L28" s="83" t="inlineStr"/>
      <c r="M28" s="83" t="inlineStr">
        <is>
          <t>2026E annualizes H1 2026. Thereafter an illustrative slowing-growth curve is followed by modeled erosion beginning at the earliest disclosed 2032 exclusivity date.</t>
        </is>
      </c>
      <c r="N28" s="83" t="inlineStr">
        <is>
          <t>https://www.sec.gov/Archives/edgar/data/901832/000110465926019130/azn-20251231x20f.htm | https://www.rns-pdf.londonstockexchange.com/rns/9440N_1-2026-7-26.pdf</t>
        </is>
      </c>
      <c r="O28" s="90" t="n">
        <v>9352</v>
      </c>
    </row>
    <row r="29">
      <c r="A29" s="84" t="inlineStr">
        <is>
          <t>TAGRISSO</t>
        </is>
      </c>
      <c r="B29" s="84" t="inlineStr">
        <is>
          <t>AstraZeneca</t>
        </is>
      </c>
      <c r="C29" s="84" t="inlineStr">
        <is>
          <t>Tagrisso</t>
        </is>
      </c>
      <c r="D29" s="84" t="inlineStr">
        <is>
          <t>osimertinib</t>
        </is>
      </c>
      <c r="E29" s="84" t="inlineStr">
        <is>
          <t>NSCLC commercial benchmark</t>
        </is>
      </c>
      <c r="F29" s="84" t="inlineStr">
        <is>
          <t>2031</t>
        </is>
      </c>
      <c r="G29" s="84" t="n">
        <v>2031</v>
      </c>
      <c r="H29" s="84" t="inlineStr">
        <is>
          <t>projected</t>
        </is>
      </c>
      <c r="I29" s="89" t="n"/>
      <c r="J29" s="93" t="n">
        <v>0.01999572284003426</v>
      </c>
      <c r="K29" s="88">
        <f>K28*(1+J29)</f>
        <v/>
      </c>
      <c r="L29" s="84" t="inlineStr"/>
      <c r="M29" s="84" t="inlineStr">
        <is>
          <t>2026E annualizes H1 2026. Thereafter an illustrative slowing-growth curve is followed by modeled erosion beginning at the earliest disclosed 2032 exclusivity date.</t>
        </is>
      </c>
      <c r="N29" s="84" t="inlineStr">
        <is>
          <t>https://www.sec.gov/Archives/edgar/data/901832/000110465926019130/azn-20251231x20f.htm | https://www.rns-pdf.londonstockexchange.com/rns/9440N_1-2026-7-26.pdf</t>
        </is>
      </c>
      <c r="O29" s="89" t="n">
        <v>9539</v>
      </c>
    </row>
    <row r="30">
      <c r="A30" s="83" t="inlineStr">
        <is>
          <t>TAGRISSO</t>
        </is>
      </c>
      <c r="B30" s="83" t="inlineStr">
        <is>
          <t>AstraZeneca</t>
        </is>
      </c>
      <c r="C30" s="83" t="inlineStr">
        <is>
          <t>Tagrisso</t>
        </is>
      </c>
      <c r="D30" s="83" t="inlineStr">
        <is>
          <t>osimertinib</t>
        </is>
      </c>
      <c r="E30" s="83" t="inlineStr">
        <is>
          <t>NSCLC commercial benchmark</t>
        </is>
      </c>
      <c r="F30" s="83" t="inlineStr">
        <is>
          <t>2032</t>
        </is>
      </c>
      <c r="G30" s="83" t="n">
        <v>2032</v>
      </c>
      <c r="H30" s="83" t="inlineStr">
        <is>
          <t>projected</t>
        </is>
      </c>
      <c r="I30" s="90" t="n"/>
      <c r="J30" s="91" t="n">
        <v>-0.2000209665583395</v>
      </c>
      <c r="K30" s="92">
        <f>K29*(1+J30)</f>
        <v/>
      </c>
      <c r="L30" s="83" t="inlineStr">
        <is>
          <t>Earliest disclosed LOE</t>
        </is>
      </c>
      <c r="M30" s="83" t="inlineStr">
        <is>
          <t>2026E annualizes H1 2026. Thereafter an illustrative slowing-growth curve is followed by modeled erosion beginning at the earliest disclosed 2032 exclusivity date.</t>
        </is>
      </c>
      <c r="N30" s="83" t="inlineStr">
        <is>
          <t>https://www.sec.gov/Archives/edgar/data/901832/000110465926019130/azn-20251231x20f.htm | https://www.rns-pdf.londonstockexchange.com/rns/9440N_1-2026-7-26.pdf</t>
        </is>
      </c>
      <c r="O30" s="90" t="n">
        <v>7631</v>
      </c>
    </row>
    <row r="31">
      <c r="A31" s="84" t="inlineStr">
        <is>
          <t>TAGRISSO</t>
        </is>
      </c>
      <c r="B31" s="84" t="inlineStr">
        <is>
          <t>AstraZeneca</t>
        </is>
      </c>
      <c r="C31" s="84" t="inlineStr">
        <is>
          <t>Tagrisso</t>
        </is>
      </c>
      <c r="D31" s="84" t="inlineStr">
        <is>
          <t>osimertinib</t>
        </is>
      </c>
      <c r="E31" s="84" t="inlineStr">
        <is>
          <t>NSCLC commercial benchmark</t>
        </is>
      </c>
      <c r="F31" s="84" t="inlineStr">
        <is>
          <t>2033</t>
        </is>
      </c>
      <c r="G31" s="84" t="n">
        <v>2033</v>
      </c>
      <c r="H31" s="84" t="inlineStr">
        <is>
          <t>projected</t>
        </is>
      </c>
      <c r="I31" s="89" t="n"/>
      <c r="J31" s="93" t="n">
        <v>-0.3999475822303761</v>
      </c>
      <c r="K31" s="88">
        <f>K30*(1+J31)</f>
        <v/>
      </c>
      <c r="L31" s="84" t="inlineStr"/>
      <c r="M31" s="84" t="inlineStr">
        <is>
          <t>2026E annualizes H1 2026. Thereafter an illustrative slowing-growth curve is followed by modeled erosion beginning at the earliest disclosed 2032 exclusivity date.</t>
        </is>
      </c>
      <c r="N31" s="84" t="inlineStr">
        <is>
          <t>https://www.sec.gov/Archives/edgar/data/901832/000110465926019130/azn-20251231x20f.htm | https://www.rns-pdf.londonstockexchange.com/rns/9440N_1-2026-7-26.pdf</t>
        </is>
      </c>
      <c r="O31" s="89" t="n">
        <v>4579</v>
      </c>
    </row>
    <row r="32">
      <c r="A32" s="83" t="n"/>
      <c r="B32" s="83" t="n"/>
      <c r="C32" s="83" t="n"/>
      <c r="D32" s="83" t="n"/>
      <c r="E32" s="83" t="n"/>
      <c r="F32" s="83" t="n"/>
      <c r="G32" s="83" t="n"/>
      <c r="H32" s="83" t="n"/>
      <c r="I32" s="90" t="n"/>
      <c r="J32" s="94" t="n"/>
      <c r="K32" s="90" t="n"/>
      <c r="L32" s="83" t="n"/>
      <c r="M32" s="83" t="n"/>
      <c r="N32" s="83" t="n"/>
      <c r="O32" s="90" t="n"/>
    </row>
    <row r="33">
      <c r="A33" s="84" t="inlineStr">
        <is>
          <t>IMFINZI</t>
        </is>
      </c>
      <c r="B33" s="84" t="inlineStr">
        <is>
          <t>AstraZeneca</t>
        </is>
      </c>
      <c r="C33" s="84" t="inlineStr">
        <is>
          <t>Imfinzi</t>
        </is>
      </c>
      <c r="D33" s="84" t="inlineStr">
        <is>
          <t>durvalumab</t>
        </is>
      </c>
      <c r="E33" s="84" t="inlineStr">
        <is>
          <t>Marketed combination backbone</t>
        </is>
      </c>
      <c r="F33" s="84" t="inlineStr">
        <is>
          <t>2023</t>
        </is>
      </c>
      <c r="G33" s="84" t="n">
        <v>2023</v>
      </c>
      <c r="H33" s="84" t="inlineStr">
        <is>
          <t>reported</t>
        </is>
      </c>
      <c r="I33" s="86" t="n">
        <v>4019</v>
      </c>
      <c r="J33" s="87" t="n"/>
      <c r="K33" s="88">
        <f>I33</f>
        <v/>
      </c>
      <c r="L33" s="84" t="inlineStr"/>
      <c r="M33" s="84" t="inlineStr">
        <is>
          <t>2026E annualizes H1 2026. The scenario assumes continued indication growth through 2029, then erosion as disclosed EU/China and US exclusivity dates arrive.</t>
        </is>
      </c>
      <c r="N33" s="84" t="inlineStr">
        <is>
          <t>https://www.sec.gov/Archives/edgar/data/901832/000110465926019130/azn-20251231x20f.htm | https://www.rns-pdf.londonstockexchange.com/rns/9440N_1-2026-7-26.pdf</t>
        </is>
      </c>
      <c r="O33" s="89" t="n">
        <v>4019</v>
      </c>
    </row>
    <row r="34">
      <c r="A34" s="83" t="inlineStr">
        <is>
          <t>IMFINZI</t>
        </is>
      </c>
      <c r="B34" s="83" t="inlineStr">
        <is>
          <t>AstraZeneca</t>
        </is>
      </c>
      <c r="C34" s="83" t="inlineStr">
        <is>
          <t>Imfinzi</t>
        </is>
      </c>
      <c r="D34" s="83" t="inlineStr">
        <is>
          <t>durvalumab</t>
        </is>
      </c>
      <c r="E34" s="83" t="inlineStr">
        <is>
          <t>Marketed combination backbone</t>
        </is>
      </c>
      <c r="F34" s="83" t="inlineStr">
        <is>
          <t>2024</t>
        </is>
      </c>
      <c r="G34" s="83" t="n">
        <v>2024</v>
      </c>
      <c r="H34" s="83" t="inlineStr">
        <is>
          <t>reported</t>
        </is>
      </c>
      <c r="I34" s="95" t="n">
        <v>4717</v>
      </c>
      <c r="J34" s="94" t="n"/>
      <c r="K34" s="92">
        <f>I34</f>
        <v/>
      </c>
      <c r="L34" s="83" t="inlineStr"/>
      <c r="M34" s="83" t="inlineStr">
        <is>
          <t>2026E annualizes H1 2026. The scenario assumes continued indication growth through 2029, then erosion as disclosed EU/China and US exclusivity dates arrive.</t>
        </is>
      </c>
      <c r="N34" s="83" t="inlineStr">
        <is>
          <t>https://www.sec.gov/Archives/edgar/data/901832/000110465926019130/azn-20251231x20f.htm | https://www.rns-pdf.londonstockexchange.com/rns/9440N_1-2026-7-26.pdf</t>
        </is>
      </c>
      <c r="O34" s="90" t="n">
        <v>4717</v>
      </c>
    </row>
    <row r="35">
      <c r="A35" s="84" t="inlineStr">
        <is>
          <t>IMFINZI</t>
        </is>
      </c>
      <c r="B35" s="84" t="inlineStr">
        <is>
          <t>AstraZeneca</t>
        </is>
      </c>
      <c r="C35" s="84" t="inlineStr">
        <is>
          <t>Imfinzi</t>
        </is>
      </c>
      <c r="D35" s="84" t="inlineStr">
        <is>
          <t>durvalumab</t>
        </is>
      </c>
      <c r="E35" s="84" t="inlineStr">
        <is>
          <t>Marketed combination backbone</t>
        </is>
      </c>
      <c r="F35" s="84" t="inlineStr">
        <is>
          <t>2025</t>
        </is>
      </c>
      <c r="G35" s="84" t="n">
        <v>2025</v>
      </c>
      <c r="H35" s="84" t="inlineStr">
        <is>
          <t>reported</t>
        </is>
      </c>
      <c r="I35" s="86" t="n">
        <v>6063</v>
      </c>
      <c r="J35" s="87" t="n"/>
      <c r="K35" s="88">
        <f>I35</f>
        <v/>
      </c>
      <c r="L35" s="84" t="inlineStr"/>
      <c r="M35" s="84" t="inlineStr">
        <is>
          <t>2026E annualizes H1 2026. The scenario assumes continued indication growth through 2029, then erosion as disclosed EU/China and US exclusivity dates arrive.</t>
        </is>
      </c>
      <c r="N35" s="84" t="inlineStr">
        <is>
          <t>https://www.sec.gov/Archives/edgar/data/901832/000110465926019130/azn-20251231x20f.htm | https://www.rns-pdf.londonstockexchange.com/rns/9440N_1-2026-7-26.pdf</t>
        </is>
      </c>
      <c r="O35" s="89" t="n">
        <v>6063</v>
      </c>
    </row>
    <row r="36">
      <c r="A36" s="83" t="inlineStr">
        <is>
          <t>IMFINZI</t>
        </is>
      </c>
      <c r="B36" s="83" t="inlineStr">
        <is>
          <t>AstraZeneca</t>
        </is>
      </c>
      <c r="C36" s="83" t="inlineStr">
        <is>
          <t>Imfinzi</t>
        </is>
      </c>
      <c r="D36" s="83" t="inlineStr">
        <is>
          <t>durvalumab</t>
        </is>
      </c>
      <c r="E36" s="83" t="inlineStr">
        <is>
          <t>Marketed combination backbone</t>
        </is>
      </c>
      <c r="F36" s="83" t="inlineStr">
        <is>
          <t>2026E</t>
        </is>
      </c>
      <c r="G36" s="83" t="n">
        <v>2026</v>
      </c>
      <c r="H36" s="83" t="inlineStr">
        <is>
          <t>projected</t>
        </is>
      </c>
      <c r="I36" s="90" t="n"/>
      <c r="J36" s="91" t="n">
        <v>0.1703777008081808</v>
      </c>
      <c r="K36" s="92">
        <f>K35*(1+J36)</f>
        <v/>
      </c>
      <c r="L36" s="83" t="inlineStr"/>
      <c r="M36" s="83" t="inlineStr">
        <is>
          <t>2026E annualizes H1 2026. The scenario assumes continued indication growth through 2029, then erosion as disclosed EU/China and US exclusivity dates arrive.</t>
        </is>
      </c>
      <c r="N36" s="83" t="inlineStr">
        <is>
          <t>https://www.sec.gov/Archives/edgar/data/901832/000110465926019130/azn-20251231x20f.htm | https://www.rns-pdf.londonstockexchange.com/rns/9440N_1-2026-7-26.pdf</t>
        </is>
      </c>
      <c r="O36" s="90" t="n">
        <v>7096</v>
      </c>
    </row>
    <row r="37">
      <c r="A37" s="84" t="inlineStr">
        <is>
          <t>IMFINZI</t>
        </is>
      </c>
      <c r="B37" s="84" t="inlineStr">
        <is>
          <t>AstraZeneca</t>
        </is>
      </c>
      <c r="C37" s="84" t="inlineStr">
        <is>
          <t>Imfinzi</t>
        </is>
      </c>
      <c r="D37" s="84" t="inlineStr">
        <is>
          <t>durvalumab</t>
        </is>
      </c>
      <c r="E37" s="84" t="inlineStr">
        <is>
          <t>Marketed combination backbone</t>
        </is>
      </c>
      <c r="F37" s="84" t="inlineStr">
        <is>
          <t>2027</t>
        </is>
      </c>
      <c r="G37" s="84" t="n">
        <v>2027</v>
      </c>
      <c r="H37" s="84" t="inlineStr">
        <is>
          <t>projected</t>
        </is>
      </c>
      <c r="I37" s="89" t="n"/>
      <c r="J37" s="93" t="n">
        <v>0.1499436302142052</v>
      </c>
      <c r="K37" s="88">
        <f>K36*(1+J37)</f>
        <v/>
      </c>
      <c r="L37" s="84" t="inlineStr"/>
      <c r="M37" s="84" t="inlineStr">
        <is>
          <t>2026E annualizes H1 2026. The scenario assumes continued indication growth through 2029, then erosion as disclosed EU/China and US exclusivity dates arrive.</t>
        </is>
      </c>
      <c r="N37" s="84" t="inlineStr">
        <is>
          <t>https://www.sec.gov/Archives/edgar/data/901832/000110465926019130/azn-20251231x20f.htm | https://www.rns-pdf.londonstockexchange.com/rns/9440N_1-2026-7-26.pdf</t>
        </is>
      </c>
      <c r="O37" s="89" t="n">
        <v>8160</v>
      </c>
    </row>
    <row r="38">
      <c r="A38" s="83" t="inlineStr">
        <is>
          <t>IMFINZI</t>
        </is>
      </c>
      <c r="B38" s="83" t="inlineStr">
        <is>
          <t>AstraZeneca</t>
        </is>
      </c>
      <c r="C38" s="83" t="inlineStr">
        <is>
          <t>Imfinzi</t>
        </is>
      </c>
      <c r="D38" s="83" t="inlineStr">
        <is>
          <t>durvalumab</t>
        </is>
      </c>
      <c r="E38" s="83" t="inlineStr">
        <is>
          <t>Marketed combination backbone</t>
        </is>
      </c>
      <c r="F38" s="83" t="inlineStr">
        <is>
          <t>2028</t>
        </is>
      </c>
      <c r="G38" s="83" t="n">
        <v>2028</v>
      </c>
      <c r="H38" s="83" t="inlineStr">
        <is>
          <t>projected</t>
        </is>
      </c>
      <c r="I38" s="90" t="n"/>
      <c r="J38" s="91" t="n">
        <v>0.125</v>
      </c>
      <c r="K38" s="92">
        <f>K37*(1+J38)</f>
        <v/>
      </c>
      <c r="L38" s="83" t="inlineStr"/>
      <c r="M38" s="83" t="inlineStr">
        <is>
          <t>2026E annualizes H1 2026. The scenario assumes continued indication growth through 2029, then erosion as disclosed EU/China and US exclusivity dates arrive.</t>
        </is>
      </c>
      <c r="N38" s="83" t="inlineStr">
        <is>
          <t>https://www.sec.gov/Archives/edgar/data/901832/000110465926019130/azn-20251231x20f.htm | https://www.rns-pdf.londonstockexchange.com/rns/9440N_1-2026-7-26.pdf</t>
        </is>
      </c>
      <c r="O38" s="90" t="n">
        <v>9180</v>
      </c>
    </row>
    <row r="39">
      <c r="A39" s="84" t="inlineStr">
        <is>
          <t>IMFINZI</t>
        </is>
      </c>
      <c r="B39" s="84" t="inlineStr">
        <is>
          <t>AstraZeneca</t>
        </is>
      </c>
      <c r="C39" s="84" t="inlineStr">
        <is>
          <t>Imfinzi</t>
        </is>
      </c>
      <c r="D39" s="84" t="inlineStr">
        <is>
          <t>durvalumab</t>
        </is>
      </c>
      <c r="E39" s="84" t="inlineStr">
        <is>
          <t>Marketed combination backbone</t>
        </is>
      </c>
      <c r="F39" s="84" t="inlineStr">
        <is>
          <t>2029</t>
        </is>
      </c>
      <c r="G39" s="84" t="n">
        <v>2029</v>
      </c>
      <c r="H39" s="84" t="inlineStr">
        <is>
          <t>projected</t>
        </is>
      </c>
      <c r="I39" s="89" t="n"/>
      <c r="J39" s="93" t="n">
        <v>0.1000000000000001</v>
      </c>
      <c r="K39" s="88">
        <f>K38*(1+J39)</f>
        <v/>
      </c>
      <c r="L39" s="84" t="inlineStr"/>
      <c r="M39" s="84" t="inlineStr">
        <is>
          <t>2026E annualizes H1 2026. The scenario assumes continued indication growth through 2029, then erosion as disclosed EU/China and US exclusivity dates arrive.</t>
        </is>
      </c>
      <c r="N39" s="84" t="inlineStr">
        <is>
          <t>https://www.sec.gov/Archives/edgar/data/901832/000110465926019130/azn-20251231x20f.htm | https://www.rns-pdf.londonstockexchange.com/rns/9440N_1-2026-7-26.pdf</t>
        </is>
      </c>
      <c r="O39" s="89" t="n">
        <v>10098</v>
      </c>
    </row>
    <row r="40">
      <c r="A40" s="83" t="inlineStr">
        <is>
          <t>IMFINZI</t>
        </is>
      </c>
      <c r="B40" s="83" t="inlineStr">
        <is>
          <t>AstraZeneca</t>
        </is>
      </c>
      <c r="C40" s="83" t="inlineStr">
        <is>
          <t>Imfinzi</t>
        </is>
      </c>
      <c r="D40" s="83" t="inlineStr">
        <is>
          <t>durvalumab</t>
        </is>
      </c>
      <c r="E40" s="83" t="inlineStr">
        <is>
          <t>Marketed combination backbone</t>
        </is>
      </c>
      <c r="F40" s="83" t="inlineStr">
        <is>
          <t>2030</t>
        </is>
      </c>
      <c r="G40" s="83" t="n">
        <v>2030</v>
      </c>
      <c r="H40" s="83" t="inlineStr">
        <is>
          <t>projected</t>
        </is>
      </c>
      <c r="I40" s="90" t="n"/>
      <c r="J40" s="91" t="n">
        <v>-0.1000198059021589</v>
      </c>
      <c r="K40" s="92">
        <f>K39*(1+J40)</f>
        <v/>
      </c>
      <c r="L40" s="83" t="inlineStr">
        <is>
          <t>EU/China LOE</t>
        </is>
      </c>
      <c r="M40" s="83" t="inlineStr">
        <is>
          <t>2026E annualizes H1 2026. The scenario assumes continued indication growth through 2029, then erosion as disclosed EU/China and US exclusivity dates arrive.</t>
        </is>
      </c>
      <c r="N40" s="83" t="inlineStr">
        <is>
          <t>https://www.sec.gov/Archives/edgar/data/901832/000110465926019130/azn-20251231x20f.htm | https://www.rns-pdf.londonstockexchange.com/rns/9440N_1-2026-7-26.pdf</t>
        </is>
      </c>
      <c r="O40" s="90" t="n">
        <v>9088</v>
      </c>
    </row>
    <row r="41">
      <c r="A41" s="84" t="inlineStr">
        <is>
          <t>IMFINZI</t>
        </is>
      </c>
      <c r="B41" s="84" t="inlineStr">
        <is>
          <t>AstraZeneca</t>
        </is>
      </c>
      <c r="C41" s="84" t="inlineStr">
        <is>
          <t>Imfinzi</t>
        </is>
      </c>
      <c r="D41" s="84" t="inlineStr">
        <is>
          <t>durvalumab</t>
        </is>
      </c>
      <c r="E41" s="84" t="inlineStr">
        <is>
          <t>Marketed combination backbone</t>
        </is>
      </c>
      <c r="F41" s="84" t="inlineStr">
        <is>
          <t>2031</t>
        </is>
      </c>
      <c r="G41" s="84" t="n">
        <v>2031</v>
      </c>
      <c r="H41" s="84" t="inlineStr">
        <is>
          <t>projected</t>
        </is>
      </c>
      <c r="I41" s="89" t="n"/>
      <c r="J41" s="93" t="n">
        <v>-0.25</v>
      </c>
      <c r="K41" s="88">
        <f>K40*(1+J41)</f>
        <v/>
      </c>
      <c r="L41" s="84" t="inlineStr">
        <is>
          <t>US LOE</t>
        </is>
      </c>
      <c r="M41" s="84" t="inlineStr">
        <is>
          <t>2026E annualizes H1 2026. The scenario assumes continued indication growth through 2029, then erosion as disclosed EU/China and US exclusivity dates arrive.</t>
        </is>
      </c>
      <c r="N41" s="84" t="inlineStr">
        <is>
          <t>https://www.sec.gov/Archives/edgar/data/901832/000110465926019130/azn-20251231x20f.htm | https://www.rns-pdf.londonstockexchange.com/rns/9440N_1-2026-7-26.pdf</t>
        </is>
      </c>
      <c r="O41" s="89" t="n">
        <v>6816</v>
      </c>
    </row>
    <row r="42">
      <c r="A42" s="83" t="inlineStr">
        <is>
          <t>IMFINZI</t>
        </is>
      </c>
      <c r="B42" s="83" t="inlineStr">
        <is>
          <t>AstraZeneca</t>
        </is>
      </c>
      <c r="C42" s="83" t="inlineStr">
        <is>
          <t>Imfinzi</t>
        </is>
      </c>
      <c r="D42" s="83" t="inlineStr">
        <is>
          <t>durvalumab</t>
        </is>
      </c>
      <c r="E42" s="83" t="inlineStr">
        <is>
          <t>Marketed combination backbone</t>
        </is>
      </c>
      <c r="F42" s="83" t="inlineStr">
        <is>
          <t>2032</t>
        </is>
      </c>
      <c r="G42" s="83" t="n">
        <v>2032</v>
      </c>
      <c r="H42" s="83" t="inlineStr">
        <is>
          <t>projected</t>
        </is>
      </c>
      <c r="I42" s="90" t="n"/>
      <c r="J42" s="91" t="n">
        <v>-0.1999706572769953</v>
      </c>
      <c r="K42" s="92">
        <f>K41*(1+J42)</f>
        <v/>
      </c>
      <c r="L42" s="83" t="inlineStr"/>
      <c r="M42" s="83" t="inlineStr">
        <is>
          <t>2026E annualizes H1 2026. The scenario assumes continued indication growth through 2029, then erosion as disclosed EU/China and US exclusivity dates arrive.</t>
        </is>
      </c>
      <c r="N42" s="83" t="inlineStr">
        <is>
          <t>https://www.sec.gov/Archives/edgar/data/901832/000110465926019130/azn-20251231x20f.htm | https://www.rns-pdf.londonstockexchange.com/rns/9440N_1-2026-7-26.pdf</t>
        </is>
      </c>
      <c r="O42" s="90" t="n">
        <v>5453</v>
      </c>
    </row>
    <row r="43">
      <c r="A43" s="84" t="n"/>
      <c r="B43" s="84" t="n"/>
      <c r="C43" s="84" t="n"/>
      <c r="D43" s="84" t="n"/>
      <c r="E43" s="84" t="n"/>
      <c r="F43" s="84" t="n"/>
      <c r="G43" s="84" t="n"/>
      <c r="H43" s="84" t="n"/>
      <c r="I43" s="89" t="n"/>
      <c r="J43" s="87" t="n"/>
      <c r="K43" s="89" t="n"/>
      <c r="L43" s="84" t="n"/>
      <c r="M43" s="84" t="n"/>
      <c r="N43" s="84" t="n"/>
      <c r="O43" s="89" t="n"/>
    </row>
    <row r="44">
      <c r="A44" s="83" t="inlineStr">
        <is>
          <t>FARXIGA</t>
        </is>
      </c>
      <c r="B44" s="83" t="inlineStr">
        <is>
          <t>AstraZeneca</t>
        </is>
      </c>
      <c r="C44" s="83" t="inlineStr">
        <is>
          <t>Farxiga / Forxiga</t>
        </is>
      </c>
      <c r="D44" s="83" t="inlineStr">
        <is>
          <t>dapagliflozin</t>
        </is>
      </c>
      <c r="E44" s="83" t="inlineStr">
        <is>
          <t>Marketed component in investigational combinations</t>
        </is>
      </c>
      <c r="F44" s="83" t="inlineStr">
        <is>
          <t>2023</t>
        </is>
      </c>
      <c r="G44" s="83" t="n">
        <v>2023</v>
      </c>
      <c r="H44" s="83" t="inlineStr">
        <is>
          <t>reported</t>
        </is>
      </c>
      <c r="I44" s="95" t="n">
        <v>5963</v>
      </c>
      <c r="J44" s="94" t="n"/>
      <c r="K44" s="92">
        <f>I44</f>
        <v/>
      </c>
      <c r="L44" s="83" t="inlineStr"/>
      <c r="M44" s="83" t="inlineStr">
        <is>
          <t>2026E annualizes H1 2026. The decline curve explicitly reflects the US loss of exclusivity reported in 2026 and the disclosed 2027 EU date.</t>
        </is>
      </c>
      <c r="N44" s="83" t="inlineStr">
        <is>
          <t>https://www.sec.gov/Archives/edgar/data/901832/000110465926019130/azn-20251231x20f.htm | https://www.rns-pdf.londonstockexchange.com/rns/9440N_1-2026-7-26.pdf</t>
        </is>
      </c>
      <c r="O44" s="90" t="n">
        <v>5963</v>
      </c>
    </row>
    <row r="45">
      <c r="A45" s="84" t="inlineStr">
        <is>
          <t>FARXIGA</t>
        </is>
      </c>
      <c r="B45" s="84" t="inlineStr">
        <is>
          <t>AstraZeneca</t>
        </is>
      </c>
      <c r="C45" s="84" t="inlineStr">
        <is>
          <t>Farxiga / Forxiga</t>
        </is>
      </c>
      <c r="D45" s="84" t="inlineStr">
        <is>
          <t>dapagliflozin</t>
        </is>
      </c>
      <c r="E45" s="84" t="inlineStr">
        <is>
          <t>Marketed component in investigational combinations</t>
        </is>
      </c>
      <c r="F45" s="84" t="inlineStr">
        <is>
          <t>2024</t>
        </is>
      </c>
      <c r="G45" s="84" t="n">
        <v>2024</v>
      </c>
      <c r="H45" s="84" t="inlineStr">
        <is>
          <t>reported</t>
        </is>
      </c>
      <c r="I45" s="86" t="n">
        <v>7656</v>
      </c>
      <c r="J45" s="87" t="n"/>
      <c r="K45" s="88">
        <f>I45</f>
        <v/>
      </c>
      <c r="L45" s="84" t="inlineStr"/>
      <c r="M45" s="84" t="inlineStr">
        <is>
          <t>2026E annualizes H1 2026. The decline curve explicitly reflects the US loss of exclusivity reported in 2026 and the disclosed 2027 EU date.</t>
        </is>
      </c>
      <c r="N45" s="84" t="inlineStr">
        <is>
          <t>https://www.sec.gov/Archives/edgar/data/901832/000110465926019130/azn-20251231x20f.htm | https://www.rns-pdf.londonstockexchange.com/rns/9440N_1-2026-7-26.pdf</t>
        </is>
      </c>
      <c r="O45" s="89" t="n">
        <v>7656</v>
      </c>
    </row>
    <row r="46">
      <c r="A46" s="83" t="inlineStr">
        <is>
          <t>FARXIGA</t>
        </is>
      </c>
      <c r="B46" s="83" t="inlineStr">
        <is>
          <t>AstraZeneca</t>
        </is>
      </c>
      <c r="C46" s="83" t="inlineStr">
        <is>
          <t>Farxiga / Forxiga</t>
        </is>
      </c>
      <c r="D46" s="83" t="inlineStr">
        <is>
          <t>dapagliflozin</t>
        </is>
      </c>
      <c r="E46" s="83" t="inlineStr">
        <is>
          <t>Marketed component in investigational combinations</t>
        </is>
      </c>
      <c r="F46" s="83" t="inlineStr">
        <is>
          <t>2025</t>
        </is>
      </c>
      <c r="G46" s="83" t="n">
        <v>2025</v>
      </c>
      <c r="H46" s="83" t="inlineStr">
        <is>
          <t>reported</t>
        </is>
      </c>
      <c r="I46" s="95" t="n">
        <v>8492</v>
      </c>
      <c r="J46" s="94" t="n"/>
      <c r="K46" s="92">
        <f>I46</f>
        <v/>
      </c>
      <c r="L46" s="83" t="inlineStr"/>
      <c r="M46" s="83" t="inlineStr">
        <is>
          <t>2026E annualizes H1 2026. The decline curve explicitly reflects the US loss of exclusivity reported in 2026 and the disclosed 2027 EU date.</t>
        </is>
      </c>
      <c r="N46" s="83" t="inlineStr">
        <is>
          <t>https://www.sec.gov/Archives/edgar/data/901832/000110465926019130/azn-20251231x20f.htm | https://www.rns-pdf.londonstockexchange.com/rns/9440N_1-2026-7-26.pdf</t>
        </is>
      </c>
      <c r="O46" s="90" t="n">
        <v>8492</v>
      </c>
    </row>
    <row r="47">
      <c r="A47" s="84" t="inlineStr">
        <is>
          <t>FARXIGA</t>
        </is>
      </c>
      <c r="B47" s="84" t="inlineStr">
        <is>
          <t>AstraZeneca</t>
        </is>
      </c>
      <c r="C47" s="84" t="inlineStr">
        <is>
          <t>Farxiga / Forxiga</t>
        </is>
      </c>
      <c r="D47" s="84" t="inlineStr">
        <is>
          <t>dapagliflozin</t>
        </is>
      </c>
      <c r="E47" s="84" t="inlineStr">
        <is>
          <t>Marketed component in investigational combinations</t>
        </is>
      </c>
      <c r="F47" s="84" t="inlineStr">
        <is>
          <t>2026E</t>
        </is>
      </c>
      <c r="G47" s="84" t="n">
        <v>2026</v>
      </c>
      <c r="H47" s="84" t="inlineStr">
        <is>
          <t>projected</t>
        </is>
      </c>
      <c r="I47" s="89" t="n"/>
      <c r="J47" s="93" t="n">
        <v>-0.05840791333019313</v>
      </c>
      <c r="K47" s="88">
        <f>K46*(1+J47)</f>
        <v/>
      </c>
      <c r="L47" s="84" t="inlineStr">
        <is>
          <t>US LOE / erosion begins</t>
        </is>
      </c>
      <c r="M47" s="84" t="inlineStr">
        <is>
          <t>2026E annualizes H1 2026. The decline curve explicitly reflects the US loss of exclusivity reported in 2026 and the disclosed 2027 EU date.</t>
        </is>
      </c>
      <c r="N47" s="84" t="inlineStr">
        <is>
          <t>https://www.sec.gov/Archives/edgar/data/901832/000110465926019130/azn-20251231x20f.htm | https://www.rns-pdf.londonstockexchange.com/rns/9440N_1-2026-7-26.pdf</t>
        </is>
      </c>
      <c r="O47" s="89" t="n">
        <v>7996</v>
      </c>
    </row>
    <row r="48">
      <c r="A48" s="83" t="inlineStr">
        <is>
          <t>FARXIGA</t>
        </is>
      </c>
      <c r="B48" s="83" t="inlineStr">
        <is>
          <t>AstraZeneca</t>
        </is>
      </c>
      <c r="C48" s="83" t="inlineStr">
        <is>
          <t>Farxiga / Forxiga</t>
        </is>
      </c>
      <c r="D48" s="83" t="inlineStr">
        <is>
          <t>dapagliflozin</t>
        </is>
      </c>
      <c r="E48" s="83" t="inlineStr">
        <is>
          <t>Marketed component in investigational combinations</t>
        </is>
      </c>
      <c r="F48" s="83" t="inlineStr">
        <is>
          <t>2027</t>
        </is>
      </c>
      <c r="G48" s="83" t="n">
        <v>2027</v>
      </c>
      <c r="H48" s="83" t="inlineStr">
        <is>
          <t>projected</t>
        </is>
      </c>
      <c r="I48" s="90" t="n"/>
      <c r="J48" s="91" t="n">
        <v>-0.1000500250125063</v>
      </c>
      <c r="K48" s="92">
        <f>K47*(1+J48)</f>
        <v/>
      </c>
      <c r="L48" s="83" t="inlineStr">
        <is>
          <t>EU LOE</t>
        </is>
      </c>
      <c r="M48" s="83" t="inlineStr">
        <is>
          <t>2026E annualizes H1 2026. The decline curve explicitly reflects the US loss of exclusivity reported in 2026 and the disclosed 2027 EU date.</t>
        </is>
      </c>
      <c r="N48" s="83" t="inlineStr">
        <is>
          <t>https://www.sec.gov/Archives/edgar/data/901832/000110465926019130/azn-20251231x20f.htm | https://www.rns-pdf.londonstockexchange.com/rns/9440N_1-2026-7-26.pdf</t>
        </is>
      </c>
      <c r="O48" s="90" t="n">
        <v>7196</v>
      </c>
    </row>
    <row r="49">
      <c r="A49" s="84" t="inlineStr">
        <is>
          <t>FARXIGA</t>
        </is>
      </c>
      <c r="B49" s="84" t="inlineStr">
        <is>
          <t>AstraZeneca</t>
        </is>
      </c>
      <c r="C49" s="84" t="inlineStr">
        <is>
          <t>Farxiga / Forxiga</t>
        </is>
      </c>
      <c r="D49" s="84" t="inlineStr">
        <is>
          <t>dapagliflozin</t>
        </is>
      </c>
      <c r="E49" s="84" t="inlineStr">
        <is>
          <t>Marketed component in investigational combinations</t>
        </is>
      </c>
      <c r="F49" s="84" t="inlineStr">
        <is>
          <t>2028</t>
        </is>
      </c>
      <c r="G49" s="84" t="n">
        <v>2028</v>
      </c>
      <c r="H49" s="84" t="inlineStr">
        <is>
          <t>projected</t>
        </is>
      </c>
      <c r="I49" s="89" t="n"/>
      <c r="J49" s="93" t="n">
        <v>-0.1000555864369094</v>
      </c>
      <c r="K49" s="88">
        <f>K48*(1+J49)</f>
        <v/>
      </c>
      <c r="L49" s="84" t="inlineStr"/>
      <c r="M49" s="84" t="inlineStr">
        <is>
          <t>2026E annualizes H1 2026. The decline curve explicitly reflects the US loss of exclusivity reported in 2026 and the disclosed 2027 EU date.</t>
        </is>
      </c>
      <c r="N49" s="84" t="inlineStr">
        <is>
          <t>https://www.sec.gov/Archives/edgar/data/901832/000110465926019130/azn-20251231x20f.htm | https://www.rns-pdf.londonstockexchange.com/rns/9440N_1-2026-7-26.pdf</t>
        </is>
      </c>
      <c r="O49" s="89" t="n">
        <v>6476</v>
      </c>
    </row>
    <row r="50">
      <c r="A50" s="83" t="inlineStr">
        <is>
          <t>FARXIGA</t>
        </is>
      </c>
      <c r="B50" s="83" t="inlineStr">
        <is>
          <t>AstraZeneca</t>
        </is>
      </c>
      <c r="C50" s="83" t="inlineStr">
        <is>
          <t>Farxiga / Forxiga</t>
        </is>
      </c>
      <c r="D50" s="83" t="inlineStr">
        <is>
          <t>dapagliflozin</t>
        </is>
      </c>
      <c r="E50" s="83" t="inlineStr">
        <is>
          <t>Marketed component in investigational combinations</t>
        </is>
      </c>
      <c r="F50" s="83" t="inlineStr">
        <is>
          <t>2029</t>
        </is>
      </c>
      <c r="G50" s="83" t="n">
        <v>2029</v>
      </c>
      <c r="H50" s="83" t="inlineStr">
        <is>
          <t>projected</t>
        </is>
      </c>
      <c r="I50" s="90" t="n"/>
      <c r="J50" s="91" t="n">
        <v>-0.09002470660901796</v>
      </c>
      <c r="K50" s="92">
        <f>K49*(1+J50)</f>
        <v/>
      </c>
      <c r="L50" s="83" t="inlineStr"/>
      <c r="M50" s="83" t="inlineStr">
        <is>
          <t>2026E annualizes H1 2026. The decline curve explicitly reflects the US loss of exclusivity reported in 2026 and the disclosed 2027 EU date.</t>
        </is>
      </c>
      <c r="N50" s="83" t="inlineStr">
        <is>
          <t>https://www.sec.gov/Archives/edgar/data/901832/000110465926019130/azn-20251231x20f.htm | https://www.rns-pdf.londonstockexchange.com/rns/9440N_1-2026-7-26.pdf</t>
        </is>
      </c>
      <c r="O50" s="90" t="n">
        <v>5893</v>
      </c>
    </row>
    <row r="51">
      <c r="A51" s="84" t="inlineStr">
        <is>
          <t>FARXIGA</t>
        </is>
      </c>
      <c r="B51" s="84" t="inlineStr">
        <is>
          <t>AstraZeneca</t>
        </is>
      </c>
      <c r="C51" s="84" t="inlineStr">
        <is>
          <t>Farxiga / Forxiga</t>
        </is>
      </c>
      <c r="D51" s="84" t="inlineStr">
        <is>
          <t>dapagliflozin</t>
        </is>
      </c>
      <c r="E51" s="84" t="inlineStr">
        <is>
          <t>Marketed component in investigational combinations</t>
        </is>
      </c>
      <c r="F51" s="84" t="inlineStr">
        <is>
          <t>2030</t>
        </is>
      </c>
      <c r="G51" s="84" t="n">
        <v>2030</v>
      </c>
      <c r="H51" s="84" t="inlineStr">
        <is>
          <t>projected</t>
        </is>
      </c>
      <c r="I51" s="89" t="n"/>
      <c r="J51" s="93" t="n">
        <v>-0.06991345664347526</v>
      </c>
      <c r="K51" s="88">
        <f>K50*(1+J51)</f>
        <v/>
      </c>
      <c r="L51" s="84" t="inlineStr"/>
      <c r="M51" s="84" t="inlineStr">
        <is>
          <t>2026E annualizes H1 2026. The decline curve explicitly reflects the US loss of exclusivity reported in 2026 and the disclosed 2027 EU date.</t>
        </is>
      </c>
      <c r="N51" s="84" t="inlineStr">
        <is>
          <t>https://www.sec.gov/Archives/edgar/data/901832/000110465926019130/azn-20251231x20f.htm | https://www.rns-pdf.londonstockexchange.com/rns/9440N_1-2026-7-26.pdf</t>
        </is>
      </c>
      <c r="O51" s="89" t="n">
        <v>5481</v>
      </c>
    </row>
    <row r="52">
      <c r="A52" s="83" t="inlineStr">
        <is>
          <t>FARXIGA</t>
        </is>
      </c>
      <c r="B52" s="83" t="inlineStr">
        <is>
          <t>AstraZeneca</t>
        </is>
      </c>
      <c r="C52" s="83" t="inlineStr">
        <is>
          <t>Farxiga / Forxiga</t>
        </is>
      </c>
      <c r="D52" s="83" t="inlineStr">
        <is>
          <t>dapagliflozin</t>
        </is>
      </c>
      <c r="E52" s="83" t="inlineStr">
        <is>
          <t>Marketed component in investigational combinations</t>
        </is>
      </c>
      <c r="F52" s="83" t="inlineStr">
        <is>
          <t>2031</t>
        </is>
      </c>
      <c r="G52" s="83" t="n">
        <v>2031</v>
      </c>
      <c r="H52" s="83" t="inlineStr">
        <is>
          <t>projected</t>
        </is>
      </c>
      <c r="I52" s="90" t="n"/>
      <c r="J52" s="91" t="n">
        <v>-0.04999087757708442</v>
      </c>
      <c r="K52" s="92">
        <f>K51*(1+J52)</f>
        <v/>
      </c>
      <c r="L52" s="83" t="inlineStr"/>
      <c r="M52" s="83" t="inlineStr">
        <is>
          <t>2026E annualizes H1 2026. The decline curve explicitly reflects the US loss of exclusivity reported in 2026 and the disclosed 2027 EU date.</t>
        </is>
      </c>
      <c r="N52" s="83" t="inlineStr">
        <is>
          <t>https://www.sec.gov/Archives/edgar/data/901832/000110465926019130/azn-20251231x20f.htm | https://www.rns-pdf.londonstockexchange.com/rns/9440N_1-2026-7-26.pdf</t>
        </is>
      </c>
      <c r="O52" s="90" t="n">
        <v>5207</v>
      </c>
    </row>
    <row r="53">
      <c r="A53" s="84" t="n"/>
      <c r="B53" s="84" t="n"/>
      <c r="C53" s="84" t="n"/>
      <c r="D53" s="84" t="n"/>
      <c r="E53" s="84" t="n"/>
      <c r="F53" s="84" t="n"/>
      <c r="G53" s="84" t="n"/>
      <c r="H53" s="84" t="n"/>
      <c r="I53" s="89" t="n"/>
      <c r="J53" s="87" t="n"/>
      <c r="K53" s="89" t="n"/>
      <c r="L53" s="84" t="n"/>
      <c r="M53" s="84" t="n"/>
      <c r="N53" s="84" t="n"/>
      <c r="O53" s="89" t="n"/>
    </row>
    <row r="54">
      <c r="A54" s="83" t="inlineStr">
        <is>
          <t>OPDIVO_FRANCHISE</t>
        </is>
      </c>
      <c r="B54" s="83" t="inlineStr">
        <is>
          <t>Bristol Myers Squibb</t>
        </is>
      </c>
      <c r="C54" s="83" t="inlineStr">
        <is>
          <t>Opdivo franchise</t>
        </is>
      </c>
      <c r="D54" s="83" t="inlineStr">
        <is>
          <t>nivolumab; includes Opdivo Qvantig from 2025</t>
        </is>
      </c>
      <c r="E54" s="83" t="inlineStr">
        <is>
          <t>Marketed component / IO franchise</t>
        </is>
      </c>
      <c r="F54" s="83" t="inlineStr">
        <is>
          <t>2023</t>
        </is>
      </c>
      <c r="G54" s="83" t="n">
        <v>2023</v>
      </c>
      <c r="H54" s="83" t="inlineStr">
        <is>
          <t>reported</t>
        </is>
      </c>
      <c r="I54" s="95" t="n">
        <v>9009</v>
      </c>
      <c r="J54" s="94" t="n"/>
      <c r="K54" s="92">
        <f>I54</f>
        <v/>
      </c>
      <c r="L54" s="83" t="inlineStr"/>
      <c r="M54" s="83" t="inlineStr">
        <is>
          <t>2026E annualizes H1 2026 Opdivo plus Opdivo Qvantig. The scenario then applies material erosion at the disclosed US, EU and Japan exclusivity dates.</t>
        </is>
      </c>
      <c r="N54" s="83" t="inlineStr">
        <is>
          <t>https://www.sec.gov/Archives/edgar/data/14272/000001427226000004/bmy-20251231.htm | https://www.bms.com/assets/bms/us/en-us/pdf/investor-info/doc_financials/quarterly_reports/2026/ghBMY-Q2-2026-Earnings-Press-Release.pdf</t>
        </is>
      </c>
      <c r="O54" s="90" t="n">
        <v>9009</v>
      </c>
    </row>
    <row r="55">
      <c r="A55" s="84" t="inlineStr">
        <is>
          <t>OPDIVO_FRANCHISE</t>
        </is>
      </c>
      <c r="B55" s="84" t="inlineStr">
        <is>
          <t>Bristol Myers Squibb</t>
        </is>
      </c>
      <c r="C55" s="84" t="inlineStr">
        <is>
          <t>Opdivo franchise</t>
        </is>
      </c>
      <c r="D55" s="84" t="inlineStr">
        <is>
          <t>nivolumab; includes Opdivo Qvantig from 2025</t>
        </is>
      </c>
      <c r="E55" s="84" t="inlineStr">
        <is>
          <t>Marketed component / IO franchise</t>
        </is>
      </c>
      <c r="F55" s="84" t="inlineStr">
        <is>
          <t>2024</t>
        </is>
      </c>
      <c r="G55" s="84" t="n">
        <v>2024</v>
      </c>
      <c r="H55" s="84" t="inlineStr">
        <is>
          <t>reported</t>
        </is>
      </c>
      <c r="I55" s="86" t="n">
        <v>9304</v>
      </c>
      <c r="J55" s="87" t="n"/>
      <c r="K55" s="88">
        <f>I55</f>
        <v/>
      </c>
      <c r="L55" s="84" t="inlineStr"/>
      <c r="M55" s="84" t="inlineStr">
        <is>
          <t>2026E annualizes H1 2026 Opdivo plus Opdivo Qvantig. The scenario then applies material erosion at the disclosed US, EU and Japan exclusivity dates.</t>
        </is>
      </c>
      <c r="N55" s="84" t="inlineStr">
        <is>
          <t>https://www.sec.gov/Archives/edgar/data/14272/000001427226000004/bmy-20251231.htm | https://www.bms.com/assets/bms/us/en-us/pdf/investor-info/doc_financials/quarterly_reports/2026/ghBMY-Q2-2026-Earnings-Press-Release.pdf</t>
        </is>
      </c>
      <c r="O55" s="89" t="n">
        <v>9304</v>
      </c>
    </row>
    <row r="56">
      <c r="A56" s="83" t="inlineStr">
        <is>
          <t>OPDIVO_FRANCHISE</t>
        </is>
      </c>
      <c r="B56" s="83" t="inlineStr">
        <is>
          <t>Bristol Myers Squibb</t>
        </is>
      </c>
      <c r="C56" s="83" t="inlineStr">
        <is>
          <t>Opdivo franchise</t>
        </is>
      </c>
      <c r="D56" s="83" t="inlineStr">
        <is>
          <t>nivolumab; includes Opdivo Qvantig from 2025</t>
        </is>
      </c>
      <c r="E56" s="83" t="inlineStr">
        <is>
          <t>Marketed component / IO franchise</t>
        </is>
      </c>
      <c r="F56" s="83" t="inlineStr">
        <is>
          <t>2025</t>
        </is>
      </c>
      <c r="G56" s="83" t="n">
        <v>2025</v>
      </c>
      <c r="H56" s="83" t="inlineStr">
        <is>
          <t>reported</t>
        </is>
      </c>
      <c r="I56" s="95" t="n">
        <v>10287</v>
      </c>
      <c r="J56" s="94" t="n"/>
      <c r="K56" s="92">
        <f>I56</f>
        <v/>
      </c>
      <c r="L56" s="83" t="inlineStr"/>
      <c r="M56" s="83" t="inlineStr">
        <is>
          <t>2026E annualizes H1 2026 Opdivo plus Opdivo Qvantig. The scenario then applies material erosion at the disclosed US, EU and Japan exclusivity dates.</t>
        </is>
      </c>
      <c r="N56" s="83" t="inlineStr">
        <is>
          <t>https://www.sec.gov/Archives/edgar/data/14272/000001427226000004/bmy-20251231.htm | https://www.bms.com/assets/bms/us/en-us/pdf/investor-info/doc_financials/quarterly_reports/2026/ghBMY-Q2-2026-Earnings-Press-Release.pdf</t>
        </is>
      </c>
      <c r="O56" s="90" t="n">
        <v>10287</v>
      </c>
    </row>
    <row r="57">
      <c r="A57" s="84" t="inlineStr">
        <is>
          <t>OPDIVO_FRANCHISE</t>
        </is>
      </c>
      <c r="B57" s="84" t="inlineStr">
        <is>
          <t>Bristol Myers Squibb</t>
        </is>
      </c>
      <c r="C57" s="84" t="inlineStr">
        <is>
          <t>Opdivo franchise</t>
        </is>
      </c>
      <c r="D57" s="84" t="inlineStr">
        <is>
          <t>nivolumab; includes Opdivo Qvantig from 2025</t>
        </is>
      </c>
      <c r="E57" s="84" t="inlineStr">
        <is>
          <t>Marketed component / IO franchise</t>
        </is>
      </c>
      <c r="F57" s="84" t="inlineStr">
        <is>
          <t>2026E</t>
        </is>
      </c>
      <c r="G57" s="84" t="n">
        <v>2026</v>
      </c>
      <c r="H57" s="84" t="inlineStr">
        <is>
          <t>projected</t>
        </is>
      </c>
      <c r="I57" s="89" t="n"/>
      <c r="J57" s="93" t="n">
        <v>-0.01720618256051332</v>
      </c>
      <c r="K57" s="88">
        <f>K56*(1+J57)</f>
        <v/>
      </c>
      <c r="L57" s="84" t="inlineStr"/>
      <c r="M57" s="84" t="inlineStr">
        <is>
          <t>2026E annualizes H1 2026 Opdivo plus Opdivo Qvantig. The scenario then applies material erosion at the disclosed US, EU and Japan exclusivity dates.</t>
        </is>
      </c>
      <c r="N57" s="84" t="inlineStr">
        <is>
          <t>https://www.sec.gov/Archives/edgar/data/14272/000001427226000004/bmy-20251231.htm | https://www.bms.com/assets/bms/us/en-us/pdf/investor-info/doc_financials/quarterly_reports/2026/ghBMY-Q2-2026-Earnings-Press-Release.pdf</t>
        </is>
      </c>
      <c r="O57" s="89" t="n">
        <v>10110</v>
      </c>
    </row>
    <row r="58">
      <c r="A58" s="83" t="inlineStr">
        <is>
          <t>OPDIVO_FRANCHISE</t>
        </is>
      </c>
      <c r="B58" s="83" t="inlineStr">
        <is>
          <t>Bristol Myers Squibb</t>
        </is>
      </c>
      <c r="C58" s="83" t="inlineStr">
        <is>
          <t>Opdivo franchise</t>
        </is>
      </c>
      <c r="D58" s="83" t="inlineStr">
        <is>
          <t>nivolumab; includes Opdivo Qvantig from 2025</t>
        </is>
      </c>
      <c r="E58" s="83" t="inlineStr">
        <is>
          <t>Marketed component / IO franchise</t>
        </is>
      </c>
      <c r="F58" s="83" t="inlineStr">
        <is>
          <t>2027</t>
        </is>
      </c>
      <c r="G58" s="83" t="n">
        <v>2027</v>
      </c>
      <c r="H58" s="83" t="inlineStr">
        <is>
          <t>projected</t>
        </is>
      </c>
      <c r="I58" s="90" t="n"/>
      <c r="J58" s="91" t="n">
        <v>-0.0199802176063304</v>
      </c>
      <c r="K58" s="92">
        <f>K57*(1+J58)</f>
        <v/>
      </c>
      <c r="L58" s="83" t="inlineStr"/>
      <c r="M58" s="83" t="inlineStr">
        <is>
          <t>2026E annualizes H1 2026 Opdivo plus Opdivo Qvantig. The scenario then applies material erosion at the disclosed US, EU and Japan exclusivity dates.</t>
        </is>
      </c>
      <c r="N58" s="83" t="inlineStr">
        <is>
          <t>https://www.sec.gov/Archives/edgar/data/14272/000001427226000004/bmy-20251231.htm | https://www.bms.com/assets/bms/us/en-us/pdf/investor-info/doc_financials/quarterly_reports/2026/ghBMY-Q2-2026-Earnings-Press-Release.pdf</t>
        </is>
      </c>
      <c r="O58" s="90" t="n">
        <v>9908</v>
      </c>
    </row>
    <row r="59">
      <c r="A59" s="84" t="inlineStr">
        <is>
          <t>OPDIVO_FRANCHISE</t>
        </is>
      </c>
      <c r="B59" s="84" t="inlineStr">
        <is>
          <t>Bristol Myers Squibb</t>
        </is>
      </c>
      <c r="C59" s="84" t="inlineStr">
        <is>
          <t>Opdivo franchise</t>
        </is>
      </c>
      <c r="D59" s="84" t="inlineStr">
        <is>
          <t>nivolumab; includes Opdivo Qvantig from 2025</t>
        </is>
      </c>
      <c r="E59" s="84" t="inlineStr">
        <is>
          <t>Marketed component / IO franchise</t>
        </is>
      </c>
      <c r="F59" s="84" t="inlineStr">
        <is>
          <t>2028</t>
        </is>
      </c>
      <c r="G59" s="84" t="n">
        <v>2028</v>
      </c>
      <c r="H59" s="84" t="inlineStr">
        <is>
          <t>projected</t>
        </is>
      </c>
      <c r="I59" s="89" t="n"/>
      <c r="J59" s="93" t="n">
        <v>-0.25</v>
      </c>
      <c r="K59" s="88">
        <f>K58*(1+J59)</f>
        <v/>
      </c>
      <c r="L59" s="84" t="inlineStr">
        <is>
          <t>US LOE</t>
        </is>
      </c>
      <c r="M59" s="84" t="inlineStr">
        <is>
          <t>2026E annualizes H1 2026 Opdivo plus Opdivo Qvantig. The scenario then applies material erosion at the disclosed US, EU and Japan exclusivity dates.</t>
        </is>
      </c>
      <c r="N59" s="84" t="inlineStr">
        <is>
          <t>https://www.sec.gov/Archives/edgar/data/14272/000001427226000004/bmy-20251231.htm | https://www.bms.com/assets/bms/us/en-us/pdf/investor-info/doc_financials/quarterly_reports/2026/ghBMY-Q2-2026-Earnings-Press-Release.pdf</t>
        </is>
      </c>
      <c r="O59" s="89" t="n">
        <v>7431</v>
      </c>
    </row>
    <row r="60">
      <c r="A60" s="83" t="inlineStr">
        <is>
          <t>OPDIVO_FRANCHISE</t>
        </is>
      </c>
      <c r="B60" s="83" t="inlineStr">
        <is>
          <t>Bristol Myers Squibb</t>
        </is>
      </c>
      <c r="C60" s="83" t="inlineStr">
        <is>
          <t>Opdivo franchise</t>
        </is>
      </c>
      <c r="D60" s="83" t="inlineStr">
        <is>
          <t>nivolumab; includes Opdivo Qvantig from 2025</t>
        </is>
      </c>
      <c r="E60" s="83" t="inlineStr">
        <is>
          <t>Marketed component / IO franchise</t>
        </is>
      </c>
      <c r="F60" s="83" t="inlineStr">
        <is>
          <t>2029</t>
        </is>
      </c>
      <c r="G60" s="83" t="n">
        <v>2029</v>
      </c>
      <c r="H60" s="83" t="inlineStr">
        <is>
          <t>projected</t>
        </is>
      </c>
      <c r="I60" s="90" t="n"/>
      <c r="J60" s="91" t="n">
        <v>-0.1999730857219755</v>
      </c>
      <c r="K60" s="92">
        <f>K59*(1+J60)</f>
        <v/>
      </c>
      <c r="L60" s="83" t="inlineStr"/>
      <c r="M60" s="83" t="inlineStr">
        <is>
          <t>2026E annualizes H1 2026 Opdivo plus Opdivo Qvantig. The scenario then applies material erosion at the disclosed US, EU and Japan exclusivity dates.</t>
        </is>
      </c>
      <c r="N60" s="83" t="inlineStr">
        <is>
          <t>https://www.sec.gov/Archives/edgar/data/14272/000001427226000004/bmy-20251231.htm | https://www.bms.com/assets/bms/us/en-us/pdf/investor-info/doc_financials/quarterly_reports/2026/ghBMY-Q2-2026-Earnings-Press-Release.pdf</t>
        </is>
      </c>
      <c r="O60" s="90" t="n">
        <v>5945</v>
      </c>
    </row>
    <row r="61">
      <c r="A61" s="84" t="inlineStr">
        <is>
          <t>OPDIVO_FRANCHISE</t>
        </is>
      </c>
      <c r="B61" s="84" t="inlineStr">
        <is>
          <t>Bristol Myers Squibb</t>
        </is>
      </c>
      <c r="C61" s="84" t="inlineStr">
        <is>
          <t>Opdivo franchise</t>
        </is>
      </c>
      <c r="D61" s="84" t="inlineStr">
        <is>
          <t>nivolumab; includes Opdivo Qvantig from 2025</t>
        </is>
      </c>
      <c r="E61" s="84" t="inlineStr">
        <is>
          <t>Marketed component / IO franchise</t>
        </is>
      </c>
      <c r="F61" s="84" t="inlineStr">
        <is>
          <t>2030</t>
        </is>
      </c>
      <c r="G61" s="84" t="n">
        <v>2030</v>
      </c>
      <c r="H61" s="84" t="inlineStr">
        <is>
          <t>projected</t>
        </is>
      </c>
      <c r="I61" s="89" t="n"/>
      <c r="J61" s="93" t="n">
        <v>-0.2499579478553406</v>
      </c>
      <c r="K61" s="88">
        <f>K60*(1+J61)</f>
        <v/>
      </c>
      <c r="L61" s="84" t="inlineStr">
        <is>
          <t>EU LOE</t>
        </is>
      </c>
      <c r="M61" s="84" t="inlineStr">
        <is>
          <t>2026E annualizes H1 2026 Opdivo plus Opdivo Qvantig. The scenario then applies material erosion at the disclosed US, EU and Japan exclusivity dates.</t>
        </is>
      </c>
      <c r="N61" s="84" t="inlineStr">
        <is>
          <t>https://www.sec.gov/Archives/edgar/data/14272/000001427226000004/bmy-20251231.htm | https://www.bms.com/assets/bms/us/en-us/pdf/investor-info/doc_financials/quarterly_reports/2026/ghBMY-Q2-2026-Earnings-Press-Release.pdf</t>
        </is>
      </c>
      <c r="O61" s="89" t="n">
        <v>4459</v>
      </c>
    </row>
    <row r="62">
      <c r="A62" s="83" t="inlineStr">
        <is>
          <t>OPDIVO_FRANCHISE</t>
        </is>
      </c>
      <c r="B62" s="83" t="inlineStr">
        <is>
          <t>Bristol Myers Squibb</t>
        </is>
      </c>
      <c r="C62" s="83" t="inlineStr">
        <is>
          <t>Opdivo franchise</t>
        </is>
      </c>
      <c r="D62" s="83" t="inlineStr">
        <is>
          <t>nivolumab; includes Opdivo Qvantig from 2025</t>
        </is>
      </c>
      <c r="E62" s="83" t="inlineStr">
        <is>
          <t>Marketed component / IO franchise</t>
        </is>
      </c>
      <c r="F62" s="83" t="inlineStr">
        <is>
          <t>2031</t>
        </is>
      </c>
      <c r="G62" s="83" t="n">
        <v>2031</v>
      </c>
      <c r="H62" s="83" t="inlineStr">
        <is>
          <t>projected</t>
        </is>
      </c>
      <c r="I62" s="90" t="n"/>
      <c r="J62" s="91" t="n">
        <v>-0.2000448531060776</v>
      </c>
      <c r="K62" s="92">
        <f>K61*(1+J62)</f>
        <v/>
      </c>
      <c r="L62" s="83" t="inlineStr">
        <is>
          <t>Japan LOE</t>
        </is>
      </c>
      <c r="M62" s="83" t="inlineStr">
        <is>
          <t>2026E annualizes H1 2026 Opdivo plus Opdivo Qvantig. The scenario then applies material erosion at the disclosed US, EU and Japan exclusivity dates.</t>
        </is>
      </c>
      <c r="N62" s="83" t="inlineStr">
        <is>
          <t>https://www.sec.gov/Archives/edgar/data/14272/000001427226000004/bmy-20251231.htm | https://www.bms.com/assets/bms/us/en-us/pdf/investor-info/doc_financials/quarterly_reports/2026/ghBMY-Q2-2026-Earnings-Press-Release.pdf</t>
        </is>
      </c>
      <c r="O62" s="90" t="n">
        <v>3567</v>
      </c>
    </row>
    <row r="63">
      <c r="A63" s="84" t="inlineStr">
        <is>
          <t>OPDIVO_FRANCHISE</t>
        </is>
      </c>
      <c r="B63" s="84" t="inlineStr">
        <is>
          <t>Bristol Myers Squibb</t>
        </is>
      </c>
      <c r="C63" s="84" t="inlineStr">
        <is>
          <t>Opdivo franchise</t>
        </is>
      </c>
      <c r="D63" s="84" t="inlineStr">
        <is>
          <t>nivolumab; includes Opdivo Qvantig from 2025</t>
        </is>
      </c>
      <c r="E63" s="84" t="inlineStr">
        <is>
          <t>Marketed component / IO franchise</t>
        </is>
      </c>
      <c r="F63" s="84" t="inlineStr">
        <is>
          <t>2032</t>
        </is>
      </c>
      <c r="G63" s="84" t="n">
        <v>2032</v>
      </c>
      <c r="H63" s="84" t="inlineStr">
        <is>
          <t>projected</t>
        </is>
      </c>
      <c r="I63" s="89" t="n"/>
      <c r="J63" s="93" t="n">
        <v>-0.1000841042893188</v>
      </c>
      <c r="K63" s="88">
        <f>K62*(1+J63)</f>
        <v/>
      </c>
      <c r="L63" s="84" t="inlineStr"/>
      <c r="M63" s="84" t="inlineStr">
        <is>
          <t>2026E annualizes H1 2026 Opdivo plus Opdivo Qvantig. The scenario then applies material erosion at the disclosed US, EU and Japan exclusivity dates.</t>
        </is>
      </c>
      <c r="N63" s="84" t="inlineStr">
        <is>
          <t>https://www.sec.gov/Archives/edgar/data/14272/000001427226000004/bmy-20251231.htm | https://www.bms.com/assets/bms/us/en-us/pdf/investor-info/doc_financials/quarterly_reports/2026/ghBMY-Q2-2026-Earnings-Press-Release.pdf</t>
        </is>
      </c>
      <c r="O63" s="89" t="n">
        <v>3210</v>
      </c>
    </row>
    <row r="64">
      <c r="A64" s="83" t="n"/>
      <c r="B64" s="83" t="n"/>
      <c r="C64" s="83" t="n"/>
      <c r="D64" s="83" t="n"/>
      <c r="E64" s="83" t="n"/>
      <c r="F64" s="83" t="n"/>
      <c r="G64" s="83" t="n"/>
      <c r="H64" s="83" t="n"/>
      <c r="I64" s="90" t="n"/>
      <c r="J64" s="94" t="n"/>
      <c r="K64" s="90" t="n"/>
      <c r="L64" s="83" t="n"/>
      <c r="M64" s="83" t="n"/>
      <c r="N64" s="83" t="n"/>
      <c r="O64" s="90" t="n"/>
    </row>
    <row r="65">
      <c r="A65" s="84" t="inlineStr">
        <is>
          <t>OPDUALAG</t>
        </is>
      </c>
      <c r="B65" s="84" t="inlineStr">
        <is>
          <t>Bristol Myers Squibb</t>
        </is>
      </c>
      <c r="C65" s="84" t="inlineStr">
        <is>
          <t>Opdualag</t>
        </is>
      </c>
      <c r="D65" s="84" t="inlineStr">
        <is>
          <t>nivolumab + relatlimab-rmbw</t>
        </is>
      </c>
      <c r="E65" s="84" t="inlineStr">
        <is>
          <t>Related marketed fixed-dose combination</t>
        </is>
      </c>
      <c r="F65" s="84" t="inlineStr">
        <is>
          <t>2023</t>
        </is>
      </c>
      <c r="G65" s="84" t="n">
        <v>2023</v>
      </c>
      <c r="H65" s="84" t="inlineStr">
        <is>
          <t>reported</t>
        </is>
      </c>
      <c r="I65" s="86" t="n">
        <v>627</v>
      </c>
      <c r="J65" s="87" t="n"/>
      <c r="K65" s="88">
        <f>I65</f>
        <v/>
      </c>
      <c r="L65" s="84" t="inlineStr"/>
      <c r="M65" s="84" t="inlineStr">
        <is>
          <t>2026E annualizes H1 2026. A base-case cliff begins around the currently listed 2033-2034 dates; pending patent-term/SPC extensions could delay the decline.</t>
        </is>
      </c>
      <c r="N65" s="84" t="inlineStr">
        <is>
          <t>https://www.sec.gov/Archives/edgar/data/14272/000001427226000004/bmy-20251231.htm | https://www.bms.com/assets/bms/us/en-us/pdf/investor-info/doc_financials/quarterly_reports/2026/ghBMY-Q2-2026-Earnings-Press-Release.pdf</t>
        </is>
      </c>
      <c r="O65" s="89" t="n">
        <v>627</v>
      </c>
    </row>
    <row r="66">
      <c r="A66" s="83" t="inlineStr">
        <is>
          <t>OPDUALAG</t>
        </is>
      </c>
      <c r="B66" s="83" t="inlineStr">
        <is>
          <t>Bristol Myers Squibb</t>
        </is>
      </c>
      <c r="C66" s="83" t="inlineStr">
        <is>
          <t>Opdualag</t>
        </is>
      </c>
      <c r="D66" s="83" t="inlineStr">
        <is>
          <t>nivolumab + relatlimab-rmbw</t>
        </is>
      </c>
      <c r="E66" s="83" t="inlineStr">
        <is>
          <t>Related marketed fixed-dose combination</t>
        </is>
      </c>
      <c r="F66" s="83" t="inlineStr">
        <is>
          <t>2024</t>
        </is>
      </c>
      <c r="G66" s="83" t="n">
        <v>2024</v>
      </c>
      <c r="H66" s="83" t="inlineStr">
        <is>
          <t>reported</t>
        </is>
      </c>
      <c r="I66" s="95" t="n">
        <v>928</v>
      </c>
      <c r="J66" s="94" t="n"/>
      <c r="K66" s="92">
        <f>I66</f>
        <v/>
      </c>
      <c r="L66" s="83" t="inlineStr"/>
      <c r="M66" s="83" t="inlineStr">
        <is>
          <t>2026E annualizes H1 2026. A base-case cliff begins around the currently listed 2033-2034 dates; pending patent-term/SPC extensions could delay the decline.</t>
        </is>
      </c>
      <c r="N66" s="83" t="inlineStr">
        <is>
          <t>https://www.sec.gov/Archives/edgar/data/14272/000001427226000004/bmy-20251231.htm | https://www.bms.com/assets/bms/us/en-us/pdf/investor-info/doc_financials/quarterly_reports/2026/ghBMY-Q2-2026-Earnings-Press-Release.pdf</t>
        </is>
      </c>
      <c r="O66" s="90" t="n">
        <v>928</v>
      </c>
    </row>
    <row r="67">
      <c r="A67" s="84" t="inlineStr">
        <is>
          <t>OPDUALAG</t>
        </is>
      </c>
      <c r="B67" s="84" t="inlineStr">
        <is>
          <t>Bristol Myers Squibb</t>
        </is>
      </c>
      <c r="C67" s="84" t="inlineStr">
        <is>
          <t>Opdualag</t>
        </is>
      </c>
      <c r="D67" s="84" t="inlineStr">
        <is>
          <t>nivolumab + relatlimab-rmbw</t>
        </is>
      </c>
      <c r="E67" s="84" t="inlineStr">
        <is>
          <t>Related marketed fixed-dose combination</t>
        </is>
      </c>
      <c r="F67" s="84" t="inlineStr">
        <is>
          <t>2025</t>
        </is>
      </c>
      <c r="G67" s="84" t="n">
        <v>2025</v>
      </c>
      <c r="H67" s="84" t="inlineStr">
        <is>
          <t>reported</t>
        </is>
      </c>
      <c r="I67" s="86" t="n">
        <v>1185</v>
      </c>
      <c r="J67" s="87" t="n"/>
      <c r="K67" s="88">
        <f>I67</f>
        <v/>
      </c>
      <c r="L67" s="84" t="inlineStr"/>
      <c r="M67" s="84" t="inlineStr">
        <is>
          <t>2026E annualizes H1 2026. A base-case cliff begins around the currently listed 2033-2034 dates; pending patent-term/SPC extensions could delay the decline.</t>
        </is>
      </c>
      <c r="N67" s="84" t="inlineStr">
        <is>
          <t>https://www.sec.gov/Archives/edgar/data/14272/000001427226000004/bmy-20251231.htm | https://www.bms.com/assets/bms/us/en-us/pdf/investor-info/doc_financials/quarterly_reports/2026/ghBMY-Q2-2026-Earnings-Press-Release.pdf</t>
        </is>
      </c>
      <c r="O67" s="89" t="n">
        <v>1185</v>
      </c>
    </row>
    <row r="68">
      <c r="A68" s="83" t="inlineStr">
        <is>
          <t>OPDUALAG</t>
        </is>
      </c>
      <c r="B68" s="83" t="inlineStr">
        <is>
          <t>Bristol Myers Squibb</t>
        </is>
      </c>
      <c r="C68" s="83" t="inlineStr">
        <is>
          <t>Opdualag</t>
        </is>
      </c>
      <c r="D68" s="83" t="inlineStr">
        <is>
          <t>nivolumab + relatlimab-rmbw</t>
        </is>
      </c>
      <c r="E68" s="83" t="inlineStr">
        <is>
          <t>Related marketed fixed-dose combination</t>
        </is>
      </c>
      <c r="F68" s="83" t="inlineStr">
        <is>
          <t>2026E</t>
        </is>
      </c>
      <c r="G68" s="83" t="n">
        <v>2026</v>
      </c>
      <c r="H68" s="83" t="inlineStr">
        <is>
          <t>projected</t>
        </is>
      </c>
      <c r="I68" s="90" t="n"/>
      <c r="J68" s="91" t="n">
        <v>0.08691983122362879</v>
      </c>
      <c r="K68" s="92">
        <f>K67*(1+J68)</f>
        <v/>
      </c>
      <c r="L68" s="83" t="inlineStr"/>
      <c r="M68" s="83" t="inlineStr">
        <is>
          <t>2026E annualizes H1 2026. A base-case cliff begins around the currently listed 2033-2034 dates; pending patent-term/SPC extensions could delay the decline.</t>
        </is>
      </c>
      <c r="N68" s="83" t="inlineStr">
        <is>
          <t>https://www.sec.gov/Archives/edgar/data/14272/000001427226000004/bmy-20251231.htm | https://www.bms.com/assets/bms/us/en-us/pdf/investor-info/doc_financials/quarterly_reports/2026/ghBMY-Q2-2026-Earnings-Press-Release.pdf</t>
        </is>
      </c>
      <c r="O68" s="90" t="n">
        <v>1288</v>
      </c>
    </row>
    <row r="69">
      <c r="A69" s="84" t="inlineStr">
        <is>
          <t>OPDUALAG</t>
        </is>
      </c>
      <c r="B69" s="84" t="inlineStr">
        <is>
          <t>Bristol Myers Squibb</t>
        </is>
      </c>
      <c r="C69" s="84" t="inlineStr">
        <is>
          <t>Opdualag</t>
        </is>
      </c>
      <c r="D69" s="84" t="inlineStr">
        <is>
          <t>nivolumab + relatlimab-rmbw</t>
        </is>
      </c>
      <c r="E69" s="84" t="inlineStr">
        <is>
          <t>Related marketed fixed-dose combination</t>
        </is>
      </c>
      <c r="F69" s="84" t="inlineStr">
        <is>
          <t>2027</t>
        </is>
      </c>
      <c r="G69" s="84" t="n">
        <v>2027</v>
      </c>
      <c r="H69" s="84" t="inlineStr">
        <is>
          <t>projected</t>
        </is>
      </c>
      <c r="I69" s="89" t="n"/>
      <c r="J69" s="93" t="n">
        <v>0.1785714285714286</v>
      </c>
      <c r="K69" s="88">
        <f>K68*(1+J69)</f>
        <v/>
      </c>
      <c r="L69" s="84" t="inlineStr"/>
      <c r="M69" s="84" t="inlineStr">
        <is>
          <t>2026E annualizes H1 2026. A base-case cliff begins around the currently listed 2033-2034 dates; pending patent-term/SPC extensions could delay the decline.</t>
        </is>
      </c>
      <c r="N69" s="84" t="inlineStr">
        <is>
          <t>https://www.sec.gov/Archives/edgar/data/14272/000001427226000004/bmy-20251231.htm | https://www.bms.com/assets/bms/us/en-us/pdf/investor-info/doc_financials/quarterly_reports/2026/ghBMY-Q2-2026-Earnings-Press-Release.pdf</t>
        </is>
      </c>
      <c r="O69" s="89" t="n">
        <v>1518</v>
      </c>
    </row>
    <row r="70">
      <c r="A70" s="83" t="inlineStr">
        <is>
          <t>OPDUALAG</t>
        </is>
      </c>
      <c r="B70" s="83" t="inlineStr">
        <is>
          <t>Bristol Myers Squibb</t>
        </is>
      </c>
      <c r="C70" s="83" t="inlineStr">
        <is>
          <t>Opdualag</t>
        </is>
      </c>
      <c r="D70" s="83" t="inlineStr">
        <is>
          <t>nivolumab + relatlimab-rmbw</t>
        </is>
      </c>
      <c r="E70" s="83" t="inlineStr">
        <is>
          <t>Related marketed fixed-dose combination</t>
        </is>
      </c>
      <c r="F70" s="83" t="inlineStr">
        <is>
          <t>2028</t>
        </is>
      </c>
      <c r="G70" s="83" t="n">
        <v>2028</v>
      </c>
      <c r="H70" s="83" t="inlineStr">
        <is>
          <t>projected</t>
        </is>
      </c>
      <c r="I70" s="90" t="n"/>
      <c r="J70" s="91" t="n">
        <v>0.1699604743083003</v>
      </c>
      <c r="K70" s="92">
        <f>K69*(1+J70)</f>
        <v/>
      </c>
      <c r="L70" s="83" t="inlineStr"/>
      <c r="M70" s="83" t="inlineStr">
        <is>
          <t>2026E annualizes H1 2026. A base-case cliff begins around the currently listed 2033-2034 dates; pending patent-term/SPC extensions could delay the decline.</t>
        </is>
      </c>
      <c r="N70" s="83" t="inlineStr">
        <is>
          <t>https://www.sec.gov/Archives/edgar/data/14272/000001427226000004/bmy-20251231.htm | https://www.bms.com/assets/bms/us/en-us/pdf/investor-info/doc_financials/quarterly_reports/2026/ghBMY-Q2-2026-Earnings-Press-Release.pdf</t>
        </is>
      </c>
      <c r="O70" s="90" t="n">
        <v>1776</v>
      </c>
    </row>
    <row r="71">
      <c r="A71" s="84" t="inlineStr">
        <is>
          <t>OPDUALAG</t>
        </is>
      </c>
      <c r="B71" s="84" t="inlineStr">
        <is>
          <t>Bristol Myers Squibb</t>
        </is>
      </c>
      <c r="C71" s="84" t="inlineStr">
        <is>
          <t>Opdualag</t>
        </is>
      </c>
      <c r="D71" s="84" t="inlineStr">
        <is>
          <t>nivolumab + relatlimab-rmbw</t>
        </is>
      </c>
      <c r="E71" s="84" t="inlineStr">
        <is>
          <t>Related marketed fixed-dose combination</t>
        </is>
      </c>
      <c r="F71" s="84" t="inlineStr">
        <is>
          <t>2029</t>
        </is>
      </c>
      <c r="G71" s="84" t="n">
        <v>2029</v>
      </c>
      <c r="H71" s="84" t="inlineStr">
        <is>
          <t>projected</t>
        </is>
      </c>
      <c r="I71" s="89" t="n"/>
      <c r="J71" s="93" t="n">
        <v>0.1351351351351351</v>
      </c>
      <c r="K71" s="88">
        <f>K70*(1+J71)</f>
        <v/>
      </c>
      <c r="L71" s="84" t="inlineStr"/>
      <c r="M71" s="84" t="inlineStr">
        <is>
          <t>2026E annualizes H1 2026. A base-case cliff begins around the currently listed 2033-2034 dates; pending patent-term/SPC extensions could delay the decline.</t>
        </is>
      </c>
      <c r="N71" s="84" t="inlineStr">
        <is>
          <t>https://www.sec.gov/Archives/edgar/data/14272/000001427226000004/bmy-20251231.htm | https://www.bms.com/assets/bms/us/en-us/pdf/investor-info/doc_financials/quarterly_reports/2026/ghBMY-Q2-2026-Earnings-Press-Release.pdf</t>
        </is>
      </c>
      <c r="O71" s="89" t="n">
        <v>2016</v>
      </c>
    </row>
    <row r="72">
      <c r="A72" s="83" t="inlineStr">
        <is>
          <t>OPDUALAG</t>
        </is>
      </c>
      <c r="B72" s="83" t="inlineStr">
        <is>
          <t>Bristol Myers Squibb</t>
        </is>
      </c>
      <c r="C72" s="83" t="inlineStr">
        <is>
          <t>Opdualag</t>
        </is>
      </c>
      <c r="D72" s="83" t="inlineStr">
        <is>
          <t>nivolumab + relatlimab-rmbw</t>
        </is>
      </c>
      <c r="E72" s="83" t="inlineStr">
        <is>
          <t>Related marketed fixed-dose combination</t>
        </is>
      </c>
      <c r="F72" s="83" t="inlineStr">
        <is>
          <t>2030</t>
        </is>
      </c>
      <c r="G72" s="83" t="n">
        <v>2030</v>
      </c>
      <c r="H72" s="83" t="inlineStr">
        <is>
          <t>projected</t>
        </is>
      </c>
      <c r="I72" s="90" t="n"/>
      <c r="J72" s="91" t="n">
        <v>0.1001984126984128</v>
      </c>
      <c r="K72" s="92">
        <f>K71*(1+J72)</f>
        <v/>
      </c>
      <c r="L72" s="83" t="inlineStr"/>
      <c r="M72" s="83" t="inlineStr">
        <is>
          <t>2026E annualizes H1 2026. A base-case cliff begins around the currently listed 2033-2034 dates; pending patent-term/SPC extensions could delay the decline.</t>
        </is>
      </c>
      <c r="N72" s="83" t="inlineStr">
        <is>
          <t>https://www.sec.gov/Archives/edgar/data/14272/000001427226000004/bmy-20251231.htm | https://www.bms.com/assets/bms/us/en-us/pdf/investor-info/doc_financials/quarterly_reports/2026/ghBMY-Q2-2026-Earnings-Press-Release.pdf</t>
        </is>
      </c>
      <c r="O72" s="90" t="n">
        <v>2218</v>
      </c>
    </row>
    <row r="73">
      <c r="A73" s="84" t="inlineStr">
        <is>
          <t>OPDUALAG</t>
        </is>
      </c>
      <c r="B73" s="84" t="inlineStr">
        <is>
          <t>Bristol Myers Squibb</t>
        </is>
      </c>
      <c r="C73" s="84" t="inlineStr">
        <is>
          <t>Opdualag</t>
        </is>
      </c>
      <c r="D73" s="84" t="inlineStr">
        <is>
          <t>nivolumab + relatlimab-rmbw</t>
        </is>
      </c>
      <c r="E73" s="84" t="inlineStr">
        <is>
          <t>Related marketed fixed-dose combination</t>
        </is>
      </c>
      <c r="F73" s="84" t="inlineStr">
        <is>
          <t>2031</t>
        </is>
      </c>
      <c r="G73" s="84" t="n">
        <v>2031</v>
      </c>
      <c r="H73" s="84" t="inlineStr">
        <is>
          <t>projected</t>
        </is>
      </c>
      <c r="I73" s="89" t="n"/>
      <c r="J73" s="93" t="n">
        <v>0.06988277727682601</v>
      </c>
      <c r="K73" s="88">
        <f>K72*(1+J73)</f>
        <v/>
      </c>
      <c r="L73" s="84" t="inlineStr"/>
      <c r="M73" s="84" t="inlineStr">
        <is>
          <t>2026E annualizes H1 2026. A base-case cliff begins around the currently listed 2033-2034 dates; pending patent-term/SPC extensions could delay the decline.</t>
        </is>
      </c>
      <c r="N73" s="84" t="inlineStr">
        <is>
          <t>https://www.sec.gov/Archives/edgar/data/14272/000001427226000004/bmy-20251231.htm | https://www.bms.com/assets/bms/us/en-us/pdf/investor-info/doc_financials/quarterly_reports/2026/ghBMY-Q2-2026-Earnings-Press-Release.pdf</t>
        </is>
      </c>
      <c r="O73" s="89" t="n">
        <v>2373</v>
      </c>
    </row>
    <row r="74">
      <c r="A74" s="83" t="inlineStr">
        <is>
          <t>OPDUALAG</t>
        </is>
      </c>
      <c r="B74" s="83" t="inlineStr">
        <is>
          <t>Bristol Myers Squibb</t>
        </is>
      </c>
      <c r="C74" s="83" t="inlineStr">
        <is>
          <t>Opdualag</t>
        </is>
      </c>
      <c r="D74" s="83" t="inlineStr">
        <is>
          <t>nivolumab + relatlimab-rmbw</t>
        </is>
      </c>
      <c r="E74" s="83" t="inlineStr">
        <is>
          <t>Related marketed fixed-dose combination</t>
        </is>
      </c>
      <c r="F74" s="83" t="inlineStr">
        <is>
          <t>2032</t>
        </is>
      </c>
      <c r="G74" s="83" t="n">
        <v>2032</v>
      </c>
      <c r="H74" s="83" t="inlineStr">
        <is>
          <t>projected</t>
        </is>
      </c>
      <c r="I74" s="90" t="n"/>
      <c r="J74" s="91" t="n">
        <v>0.0408765276021914</v>
      </c>
      <c r="K74" s="92">
        <f>K73*(1+J74)</f>
        <v/>
      </c>
      <c r="L74" s="83" t="inlineStr"/>
      <c r="M74" s="83" t="inlineStr">
        <is>
          <t>2026E annualizes H1 2026. A base-case cliff begins around the currently listed 2033-2034 dates; pending patent-term/SPC extensions could delay the decline.</t>
        </is>
      </c>
      <c r="N74" s="83" t="inlineStr">
        <is>
          <t>https://www.sec.gov/Archives/edgar/data/14272/000001427226000004/bmy-20251231.htm | https://www.bms.com/assets/bms/us/en-us/pdf/investor-info/doc_financials/quarterly_reports/2026/ghBMY-Q2-2026-Earnings-Press-Release.pdf</t>
        </is>
      </c>
      <c r="O74" s="90" t="n">
        <v>2470</v>
      </c>
    </row>
    <row r="75">
      <c r="A75" s="84" t="inlineStr">
        <is>
          <t>OPDUALAG</t>
        </is>
      </c>
      <c r="B75" s="84" t="inlineStr">
        <is>
          <t>Bristol Myers Squibb</t>
        </is>
      </c>
      <c r="C75" s="84" t="inlineStr">
        <is>
          <t>Opdualag</t>
        </is>
      </c>
      <c r="D75" s="84" t="inlineStr">
        <is>
          <t>nivolumab + relatlimab-rmbw</t>
        </is>
      </c>
      <c r="E75" s="84" t="inlineStr">
        <is>
          <t>Related marketed fixed-dose combination</t>
        </is>
      </c>
      <c r="F75" s="84" t="inlineStr">
        <is>
          <t>2033</t>
        </is>
      </c>
      <c r="G75" s="84" t="n">
        <v>2033</v>
      </c>
      <c r="H75" s="84" t="inlineStr">
        <is>
          <t>projected</t>
        </is>
      </c>
      <c r="I75" s="89" t="n"/>
      <c r="J75" s="93" t="n">
        <v>-0.04979757085020242</v>
      </c>
      <c r="K75" s="88">
        <f>K74*(1+J75)</f>
        <v/>
      </c>
      <c r="L75" s="84" t="inlineStr">
        <is>
          <t>EU base date</t>
        </is>
      </c>
      <c r="M75" s="84" t="inlineStr">
        <is>
          <t>2026E annualizes H1 2026. A base-case cliff begins around the currently listed 2033-2034 dates; pending patent-term/SPC extensions could delay the decline.</t>
        </is>
      </c>
      <c r="N75" s="84" t="inlineStr">
        <is>
          <t>https://www.sec.gov/Archives/edgar/data/14272/000001427226000004/bmy-20251231.htm | https://www.bms.com/assets/bms/us/en-us/pdf/investor-info/doc_financials/quarterly_reports/2026/ghBMY-Q2-2026-Earnings-Press-Release.pdf</t>
        </is>
      </c>
      <c r="O75" s="89" t="n">
        <v>2347</v>
      </c>
    </row>
    <row r="76">
      <c r="A76" s="83" t="inlineStr">
        <is>
          <t>OPDUALAG</t>
        </is>
      </c>
      <c r="B76" s="83" t="inlineStr">
        <is>
          <t>Bristol Myers Squibb</t>
        </is>
      </c>
      <c r="C76" s="83" t="inlineStr">
        <is>
          <t>Opdualag</t>
        </is>
      </c>
      <c r="D76" s="83" t="inlineStr">
        <is>
          <t>nivolumab + relatlimab-rmbw</t>
        </is>
      </c>
      <c r="E76" s="83" t="inlineStr">
        <is>
          <t>Related marketed fixed-dose combination</t>
        </is>
      </c>
      <c r="F76" s="83" t="inlineStr">
        <is>
          <t>2034</t>
        </is>
      </c>
      <c r="G76" s="83" t="n">
        <v>2034</v>
      </c>
      <c r="H76" s="83" t="inlineStr">
        <is>
          <t>projected</t>
        </is>
      </c>
      <c r="I76" s="90" t="n"/>
      <c r="J76" s="91" t="n">
        <v>-0.1998295696634</v>
      </c>
      <c r="K76" s="92">
        <f>K75*(1+J76)</f>
        <v/>
      </c>
      <c r="L76" s="83" t="inlineStr">
        <is>
          <t>US base date</t>
        </is>
      </c>
      <c r="M76" s="83" t="inlineStr">
        <is>
          <t>2026E annualizes H1 2026. A base-case cliff begins around the currently listed 2033-2034 dates; pending patent-term/SPC extensions could delay the decline.</t>
        </is>
      </c>
      <c r="N76" s="83" t="inlineStr">
        <is>
          <t>https://www.sec.gov/Archives/edgar/data/14272/000001427226000004/bmy-20251231.htm | https://www.bms.com/assets/bms/us/en-us/pdf/investor-info/doc_financials/quarterly_reports/2026/ghBMY-Q2-2026-Earnings-Press-Release.pdf</t>
        </is>
      </c>
      <c r="O76" s="90" t="n">
        <v>1878</v>
      </c>
    </row>
    <row r="77">
      <c r="A77" s="84" t="inlineStr">
        <is>
          <t>OPDUALAG</t>
        </is>
      </c>
      <c r="B77" s="84" t="inlineStr">
        <is>
          <t>Bristol Myers Squibb</t>
        </is>
      </c>
      <c r="C77" s="84" t="inlineStr">
        <is>
          <t>Opdualag</t>
        </is>
      </c>
      <c r="D77" s="84" t="inlineStr">
        <is>
          <t>nivolumab + relatlimab-rmbw</t>
        </is>
      </c>
      <c r="E77" s="84" t="inlineStr">
        <is>
          <t>Related marketed fixed-dose combination</t>
        </is>
      </c>
      <c r="F77" s="84" t="inlineStr">
        <is>
          <t>2035</t>
        </is>
      </c>
      <c r="G77" s="84" t="n">
        <v>2035</v>
      </c>
      <c r="H77" s="84" t="inlineStr">
        <is>
          <t>projected</t>
        </is>
      </c>
      <c r="I77" s="89" t="n"/>
      <c r="J77" s="93" t="n">
        <v>-0.2002129925452609</v>
      </c>
      <c r="K77" s="88">
        <f>K76*(1+J77)</f>
        <v/>
      </c>
      <c r="L77" s="84" t="inlineStr"/>
      <c r="M77" s="84" t="inlineStr">
        <is>
          <t>2026E annualizes H1 2026. A base-case cliff begins around the currently listed 2033-2034 dates; pending patent-term/SPC extensions could delay the decline.</t>
        </is>
      </c>
      <c r="N77" s="84" t="inlineStr">
        <is>
          <t>https://www.sec.gov/Archives/edgar/data/14272/000001427226000004/bmy-20251231.htm | https://www.bms.com/assets/bms/us/en-us/pdf/investor-info/doc_financials/quarterly_reports/2026/ghBMY-Q2-2026-Earnings-Press-Release.pdf</t>
        </is>
      </c>
      <c r="O77" s="89" t="n">
        <v>1502</v>
      </c>
    </row>
    <row r="78">
      <c r="A78" s="83" t="inlineStr">
        <is>
          <t>OPDUALAG</t>
        </is>
      </c>
      <c r="B78" s="83" t="inlineStr">
        <is>
          <t>Bristol Myers Squibb</t>
        </is>
      </c>
      <c r="C78" s="83" t="inlineStr">
        <is>
          <t>Opdualag</t>
        </is>
      </c>
      <c r="D78" s="83" t="inlineStr">
        <is>
          <t>nivolumab + relatlimab-rmbw</t>
        </is>
      </c>
      <c r="E78" s="83" t="inlineStr">
        <is>
          <t>Related marketed fixed-dose combination</t>
        </is>
      </c>
      <c r="F78" s="83" t="inlineStr">
        <is>
          <t>2036</t>
        </is>
      </c>
      <c r="G78" s="83" t="n">
        <v>2036</v>
      </c>
      <c r="H78" s="83" t="inlineStr">
        <is>
          <t>projected</t>
        </is>
      </c>
      <c r="I78" s="90" t="n"/>
      <c r="J78" s="91" t="n">
        <v>-0.4001331557922769</v>
      </c>
      <c r="K78" s="92">
        <f>K77*(1+J78)</f>
        <v/>
      </c>
      <c r="L78" s="83" t="inlineStr">
        <is>
          <t>Potential US extension</t>
        </is>
      </c>
      <c r="M78" s="83" t="inlineStr">
        <is>
          <t>2026E annualizes H1 2026. A base-case cliff begins around the currently listed 2033-2034 dates; pending patent-term/SPC extensions could delay the decline.</t>
        </is>
      </c>
      <c r="N78" s="83" t="inlineStr">
        <is>
          <t>https://www.sec.gov/Archives/edgar/data/14272/000001427226000004/bmy-20251231.htm | https://www.bms.com/assets/bms/us/en-us/pdf/investor-info/doc_financials/quarterly_reports/2026/ghBMY-Q2-2026-Earnings-Press-Release.pdf</t>
        </is>
      </c>
      <c r="O78" s="90" t="n">
        <v>901</v>
      </c>
    </row>
    <row r="79">
      <c r="A79" s="84" t="n"/>
      <c r="B79" s="84" t="n"/>
      <c r="C79" s="84" t="n"/>
      <c r="D79" s="84" t="n"/>
      <c r="E79" s="84" t="n"/>
      <c r="F79" s="84" t="n"/>
      <c r="G79" s="84" t="n"/>
      <c r="H79" s="84" t="n"/>
      <c r="I79" s="89" t="n"/>
      <c r="J79" s="87" t="n"/>
      <c r="K79" s="89" t="n"/>
      <c r="L79" s="84" t="n"/>
      <c r="M79" s="84" t="n"/>
      <c r="N79" s="84" t="n"/>
      <c r="O79" s="89" t="n"/>
    </row>
    <row r="80">
      <c r="A80" s="83" t="inlineStr">
        <is>
          <t>BREYANZI</t>
        </is>
      </c>
      <c r="B80" s="83" t="inlineStr">
        <is>
          <t>Bristol Myers Squibb</t>
        </is>
      </c>
      <c r="C80" s="83" t="inlineStr">
        <is>
          <t>Breyanzi</t>
        </is>
      </c>
      <c r="D80" s="83" t="inlineStr">
        <is>
          <t>lisocabtagene maraleucel</t>
        </is>
      </c>
      <c r="E80" s="83" t="inlineStr">
        <is>
          <t>B-cell lymphoma cell-therapy benchmark</t>
        </is>
      </c>
      <c r="F80" s="83" t="inlineStr">
        <is>
          <t>2023</t>
        </is>
      </c>
      <c r="G80" s="83" t="n">
        <v>2023</v>
      </c>
      <c r="H80" s="83" t="inlineStr">
        <is>
          <t>reported</t>
        </is>
      </c>
      <c r="I80" s="95" t="n">
        <v>364</v>
      </c>
      <c r="J80" s="94" t="n"/>
      <c r="K80" s="92">
        <f>I80</f>
        <v/>
      </c>
      <c r="L80" s="83" t="inlineStr"/>
      <c r="M80" s="83" t="inlineStr">
        <is>
          <t>2026E annualizes H1 2026. The scenario assumes continued uptake followed by erosion at the currently disclosed minimum exclusivity date.</t>
        </is>
      </c>
      <c r="N80" s="83" t="inlineStr">
        <is>
          <t>https://www.sec.gov/Archives/edgar/data/14272/000001427226000004/bmy-20251231.htm | https://www.bms.com/assets/bms/us/en-us/pdf/investor-info/doc_financials/quarterly_reports/2026/ghBMY-Q2-2026-Earnings-Press-Release.pdf</t>
        </is>
      </c>
      <c r="O80" s="90" t="n">
        <v>364</v>
      </c>
    </row>
    <row r="81">
      <c r="A81" s="84" t="inlineStr">
        <is>
          <t>BREYANZI</t>
        </is>
      </c>
      <c r="B81" s="84" t="inlineStr">
        <is>
          <t>Bristol Myers Squibb</t>
        </is>
      </c>
      <c r="C81" s="84" t="inlineStr">
        <is>
          <t>Breyanzi</t>
        </is>
      </c>
      <c r="D81" s="84" t="inlineStr">
        <is>
          <t>lisocabtagene maraleucel</t>
        </is>
      </c>
      <c r="E81" s="84" t="inlineStr">
        <is>
          <t>B-cell lymphoma cell-therapy benchmark</t>
        </is>
      </c>
      <c r="F81" s="84" t="inlineStr">
        <is>
          <t>2024</t>
        </is>
      </c>
      <c r="G81" s="84" t="n">
        <v>2024</v>
      </c>
      <c r="H81" s="84" t="inlineStr">
        <is>
          <t>reported</t>
        </is>
      </c>
      <c r="I81" s="86" t="n">
        <v>747</v>
      </c>
      <c r="J81" s="87" t="n"/>
      <c r="K81" s="88">
        <f>I81</f>
        <v/>
      </c>
      <c r="L81" s="84" t="inlineStr"/>
      <c r="M81" s="84" t="inlineStr">
        <is>
          <t>2026E annualizes H1 2026. The scenario assumes continued uptake followed by erosion at the currently disclosed minimum exclusivity date.</t>
        </is>
      </c>
      <c r="N81" s="84" t="inlineStr">
        <is>
          <t>https://www.sec.gov/Archives/edgar/data/14272/000001427226000004/bmy-20251231.htm | https://www.bms.com/assets/bms/us/en-us/pdf/investor-info/doc_financials/quarterly_reports/2026/ghBMY-Q2-2026-Earnings-Press-Release.pdf</t>
        </is>
      </c>
      <c r="O81" s="89" t="n">
        <v>747</v>
      </c>
    </row>
    <row r="82">
      <c r="A82" s="83" t="inlineStr">
        <is>
          <t>BREYANZI</t>
        </is>
      </c>
      <c r="B82" s="83" t="inlineStr">
        <is>
          <t>Bristol Myers Squibb</t>
        </is>
      </c>
      <c r="C82" s="83" t="inlineStr">
        <is>
          <t>Breyanzi</t>
        </is>
      </c>
      <c r="D82" s="83" t="inlineStr">
        <is>
          <t>lisocabtagene maraleucel</t>
        </is>
      </c>
      <c r="E82" s="83" t="inlineStr">
        <is>
          <t>B-cell lymphoma cell-therapy benchmark</t>
        </is>
      </c>
      <c r="F82" s="83" t="inlineStr">
        <is>
          <t>2025</t>
        </is>
      </c>
      <c r="G82" s="83" t="n">
        <v>2025</v>
      </c>
      <c r="H82" s="83" t="inlineStr">
        <is>
          <t>reported</t>
        </is>
      </c>
      <c r="I82" s="95" t="n">
        <v>1358</v>
      </c>
      <c r="J82" s="94" t="n"/>
      <c r="K82" s="92">
        <f>I82</f>
        <v/>
      </c>
      <c r="L82" s="83" t="inlineStr"/>
      <c r="M82" s="83" t="inlineStr">
        <is>
          <t>2026E annualizes H1 2026. The scenario assumes continued uptake followed by erosion at the currently disclosed minimum exclusivity date.</t>
        </is>
      </c>
      <c r="N82" s="83" t="inlineStr">
        <is>
          <t>https://www.sec.gov/Archives/edgar/data/14272/000001427226000004/bmy-20251231.htm | https://www.bms.com/assets/bms/us/en-us/pdf/investor-info/doc_financials/quarterly_reports/2026/ghBMY-Q2-2026-Earnings-Press-Release.pdf</t>
        </is>
      </c>
      <c r="O82" s="90" t="n">
        <v>1358</v>
      </c>
    </row>
    <row r="83">
      <c r="A83" s="84" t="inlineStr">
        <is>
          <t>BREYANZI</t>
        </is>
      </c>
      <c r="B83" s="84" t="inlineStr">
        <is>
          <t>Bristol Myers Squibb</t>
        </is>
      </c>
      <c r="C83" s="84" t="inlineStr">
        <is>
          <t>Breyanzi</t>
        </is>
      </c>
      <c r="D83" s="84" t="inlineStr">
        <is>
          <t>lisocabtagene maraleucel</t>
        </is>
      </c>
      <c r="E83" s="84" t="inlineStr">
        <is>
          <t>B-cell lymphoma cell-therapy benchmark</t>
        </is>
      </c>
      <c r="F83" s="84" t="inlineStr">
        <is>
          <t>2026E</t>
        </is>
      </c>
      <c r="G83" s="84" t="n">
        <v>2026</v>
      </c>
      <c r="H83" s="84" t="inlineStr">
        <is>
          <t>projected</t>
        </is>
      </c>
      <c r="I83" s="89" t="n"/>
      <c r="J83" s="93" t="n">
        <v>0.3195876288659794</v>
      </c>
      <c r="K83" s="88">
        <f>K82*(1+J83)</f>
        <v/>
      </c>
      <c r="L83" s="84" t="inlineStr"/>
      <c r="M83" s="84" t="inlineStr">
        <is>
          <t>2026E annualizes H1 2026. The scenario assumes continued uptake followed by erosion at the currently disclosed minimum exclusivity date.</t>
        </is>
      </c>
      <c r="N83" s="84" t="inlineStr">
        <is>
          <t>https://www.sec.gov/Archives/edgar/data/14272/000001427226000004/bmy-20251231.htm | https://www.bms.com/assets/bms/us/en-us/pdf/investor-info/doc_financials/quarterly_reports/2026/ghBMY-Q2-2026-Earnings-Press-Release.pdf</t>
        </is>
      </c>
      <c r="O83" s="89" t="n">
        <v>1792</v>
      </c>
    </row>
    <row r="84">
      <c r="A84" s="83" t="inlineStr">
        <is>
          <t>BREYANZI</t>
        </is>
      </c>
      <c r="B84" s="83" t="inlineStr">
        <is>
          <t>Bristol Myers Squibb</t>
        </is>
      </c>
      <c r="C84" s="83" t="inlineStr">
        <is>
          <t>Breyanzi</t>
        </is>
      </c>
      <c r="D84" s="83" t="inlineStr">
        <is>
          <t>lisocabtagene maraleucel</t>
        </is>
      </c>
      <c r="E84" s="83" t="inlineStr">
        <is>
          <t>B-cell lymphoma cell-therapy benchmark</t>
        </is>
      </c>
      <c r="F84" s="83" t="inlineStr">
        <is>
          <t>2027</t>
        </is>
      </c>
      <c r="G84" s="83" t="n">
        <v>2027</v>
      </c>
      <c r="H84" s="83" t="inlineStr">
        <is>
          <t>projected</t>
        </is>
      </c>
      <c r="I84" s="90" t="n"/>
      <c r="J84" s="91" t="n">
        <v>0.1997767857142858</v>
      </c>
      <c r="K84" s="92">
        <f>K83*(1+J84)</f>
        <v/>
      </c>
      <c r="L84" s="83" t="inlineStr"/>
      <c r="M84" s="83" t="inlineStr">
        <is>
          <t>2026E annualizes H1 2026. The scenario assumes continued uptake followed by erosion at the currently disclosed minimum exclusivity date.</t>
        </is>
      </c>
      <c r="N84" s="83" t="inlineStr">
        <is>
          <t>https://www.sec.gov/Archives/edgar/data/14272/000001427226000004/bmy-20251231.htm | https://www.bms.com/assets/bms/us/en-us/pdf/investor-info/doc_financials/quarterly_reports/2026/ghBMY-Q2-2026-Earnings-Press-Release.pdf</t>
        </is>
      </c>
      <c r="O84" s="90" t="n">
        <v>2150</v>
      </c>
    </row>
    <row r="85">
      <c r="A85" s="84" t="inlineStr">
        <is>
          <t>BREYANZI</t>
        </is>
      </c>
      <c r="B85" s="84" t="inlineStr">
        <is>
          <t>Bristol Myers Squibb</t>
        </is>
      </c>
      <c r="C85" s="84" t="inlineStr">
        <is>
          <t>Breyanzi</t>
        </is>
      </c>
      <c r="D85" s="84" t="inlineStr">
        <is>
          <t>lisocabtagene maraleucel</t>
        </is>
      </c>
      <c r="E85" s="84" t="inlineStr">
        <is>
          <t>B-cell lymphoma cell-therapy benchmark</t>
        </is>
      </c>
      <c r="F85" s="84" t="inlineStr">
        <is>
          <t>2028</t>
        </is>
      </c>
      <c r="G85" s="84" t="n">
        <v>2028</v>
      </c>
      <c r="H85" s="84" t="inlineStr">
        <is>
          <t>projected</t>
        </is>
      </c>
      <c r="I85" s="89" t="n"/>
      <c r="J85" s="93" t="n">
        <v>0.1399999999999999</v>
      </c>
      <c r="K85" s="88">
        <f>K84*(1+J85)</f>
        <v/>
      </c>
      <c r="L85" s="84" t="inlineStr"/>
      <c r="M85" s="84" t="inlineStr">
        <is>
          <t>2026E annualizes H1 2026. The scenario assumes continued uptake followed by erosion at the currently disclosed minimum exclusivity date.</t>
        </is>
      </c>
      <c r="N85" s="84" t="inlineStr">
        <is>
          <t>https://www.sec.gov/Archives/edgar/data/14272/000001427226000004/bmy-20251231.htm | https://www.bms.com/assets/bms/us/en-us/pdf/investor-info/doc_financials/quarterly_reports/2026/ghBMY-Q2-2026-Earnings-Press-Release.pdf</t>
        </is>
      </c>
      <c r="O85" s="89" t="n">
        <v>2451</v>
      </c>
    </row>
    <row r="86">
      <c r="A86" s="83" t="inlineStr">
        <is>
          <t>BREYANZI</t>
        </is>
      </c>
      <c r="B86" s="83" t="inlineStr">
        <is>
          <t>Bristol Myers Squibb</t>
        </is>
      </c>
      <c r="C86" s="83" t="inlineStr">
        <is>
          <t>Breyanzi</t>
        </is>
      </c>
      <c r="D86" s="83" t="inlineStr">
        <is>
          <t>lisocabtagene maraleucel</t>
        </is>
      </c>
      <c r="E86" s="83" t="inlineStr">
        <is>
          <t>B-cell lymphoma cell-therapy benchmark</t>
        </is>
      </c>
      <c r="F86" s="83" t="inlineStr">
        <is>
          <t>2029</t>
        </is>
      </c>
      <c r="G86" s="83" t="n">
        <v>2029</v>
      </c>
      <c r="H86" s="83" t="inlineStr">
        <is>
          <t>projected</t>
        </is>
      </c>
      <c r="I86" s="90" t="n"/>
      <c r="J86" s="91" t="n">
        <v>0.07996736026111795</v>
      </c>
      <c r="K86" s="92">
        <f>K85*(1+J86)</f>
        <v/>
      </c>
      <c r="L86" s="83" t="inlineStr"/>
      <c r="M86" s="83" t="inlineStr">
        <is>
          <t>2026E annualizes H1 2026. The scenario assumes continued uptake followed by erosion at the currently disclosed minimum exclusivity date.</t>
        </is>
      </c>
      <c r="N86" s="83" t="inlineStr">
        <is>
          <t>https://www.sec.gov/Archives/edgar/data/14272/000001427226000004/bmy-20251231.htm | https://www.bms.com/assets/bms/us/en-us/pdf/investor-info/doc_financials/quarterly_reports/2026/ghBMY-Q2-2026-Earnings-Press-Release.pdf</t>
        </is>
      </c>
      <c r="O86" s="90" t="n">
        <v>2647</v>
      </c>
    </row>
    <row r="87">
      <c r="A87" s="84" t="inlineStr">
        <is>
          <t>BREYANZI</t>
        </is>
      </c>
      <c r="B87" s="84" t="inlineStr">
        <is>
          <t>Bristol Myers Squibb</t>
        </is>
      </c>
      <c r="C87" s="84" t="inlineStr">
        <is>
          <t>Breyanzi</t>
        </is>
      </c>
      <c r="D87" s="84" t="inlineStr">
        <is>
          <t>lisocabtagene maraleucel</t>
        </is>
      </c>
      <c r="E87" s="84" t="inlineStr">
        <is>
          <t>B-cell lymphoma cell-therapy benchmark</t>
        </is>
      </c>
      <c r="F87" s="84" t="inlineStr">
        <is>
          <t>2030</t>
        </is>
      </c>
      <c r="G87" s="84" t="n">
        <v>2030</v>
      </c>
      <c r="H87" s="84" t="inlineStr">
        <is>
          <t>projected</t>
        </is>
      </c>
      <c r="I87" s="89" t="n"/>
      <c r="J87" s="93" t="n">
        <v>0.06006800151114478</v>
      </c>
      <c r="K87" s="88">
        <f>K86*(1+J87)</f>
        <v/>
      </c>
      <c r="L87" s="84" t="inlineStr"/>
      <c r="M87" s="84" t="inlineStr">
        <is>
          <t>2026E annualizes H1 2026. The scenario assumes continued uptake followed by erosion at the currently disclosed minimum exclusivity date.</t>
        </is>
      </c>
      <c r="N87" s="84" t="inlineStr">
        <is>
          <t>https://www.sec.gov/Archives/edgar/data/14272/000001427226000004/bmy-20251231.htm | https://www.bms.com/assets/bms/us/en-us/pdf/investor-info/doc_financials/quarterly_reports/2026/ghBMY-Q2-2026-Earnings-Press-Release.pdf</t>
        </is>
      </c>
      <c r="O87" s="89" t="n">
        <v>2806</v>
      </c>
    </row>
    <row r="88">
      <c r="A88" s="83" t="inlineStr">
        <is>
          <t>BREYANZI</t>
        </is>
      </c>
      <c r="B88" s="83" t="inlineStr">
        <is>
          <t>Bristol Myers Squibb</t>
        </is>
      </c>
      <c r="C88" s="83" t="inlineStr">
        <is>
          <t>Breyanzi</t>
        </is>
      </c>
      <c r="D88" s="83" t="inlineStr">
        <is>
          <t>lisocabtagene maraleucel</t>
        </is>
      </c>
      <c r="E88" s="83" t="inlineStr">
        <is>
          <t>B-cell lymphoma cell-therapy benchmark</t>
        </is>
      </c>
      <c r="F88" s="83" t="inlineStr">
        <is>
          <t>2031</t>
        </is>
      </c>
      <c r="G88" s="83" t="n">
        <v>2031</v>
      </c>
      <c r="H88" s="83" t="inlineStr">
        <is>
          <t>projected</t>
        </is>
      </c>
      <c r="I88" s="90" t="n"/>
      <c r="J88" s="91" t="n">
        <v>0.03991446899501061</v>
      </c>
      <c r="K88" s="92">
        <f>K87*(1+J88)</f>
        <v/>
      </c>
      <c r="L88" s="83" t="inlineStr"/>
      <c r="M88" s="83" t="inlineStr">
        <is>
          <t>2026E annualizes H1 2026. The scenario assumes continued uptake followed by erosion at the currently disclosed minimum exclusivity date.</t>
        </is>
      </c>
      <c r="N88" s="83" t="inlineStr">
        <is>
          <t>https://www.sec.gov/Archives/edgar/data/14272/000001427226000004/bmy-20251231.htm | https://www.bms.com/assets/bms/us/en-us/pdf/investor-info/doc_financials/quarterly_reports/2026/ghBMY-Q2-2026-Earnings-Press-Release.pdf</t>
        </is>
      </c>
      <c r="O88" s="90" t="n">
        <v>2918</v>
      </c>
    </row>
    <row r="89">
      <c r="A89" s="84" t="inlineStr">
        <is>
          <t>BREYANZI</t>
        </is>
      </c>
      <c r="B89" s="84" t="inlineStr">
        <is>
          <t>Bristol Myers Squibb</t>
        </is>
      </c>
      <c r="C89" s="84" t="inlineStr">
        <is>
          <t>Breyanzi</t>
        </is>
      </c>
      <c r="D89" s="84" t="inlineStr">
        <is>
          <t>lisocabtagene maraleucel</t>
        </is>
      </c>
      <c r="E89" s="84" t="inlineStr">
        <is>
          <t>B-cell lymphoma cell-therapy benchmark</t>
        </is>
      </c>
      <c r="F89" s="84" t="inlineStr">
        <is>
          <t>2032</t>
        </is>
      </c>
      <c r="G89" s="84" t="n">
        <v>2032</v>
      </c>
      <c r="H89" s="84" t="inlineStr">
        <is>
          <t>projected</t>
        </is>
      </c>
      <c r="I89" s="89" t="n"/>
      <c r="J89" s="93" t="n">
        <v>0.03015764222069905</v>
      </c>
      <c r="K89" s="88">
        <f>K88*(1+J89)</f>
        <v/>
      </c>
      <c r="L89" s="84" t="inlineStr"/>
      <c r="M89" s="84" t="inlineStr">
        <is>
          <t>2026E annualizes H1 2026. The scenario assumes continued uptake followed by erosion at the currently disclosed minimum exclusivity date.</t>
        </is>
      </c>
      <c r="N89" s="84" t="inlineStr">
        <is>
          <t>https://www.sec.gov/Archives/edgar/data/14272/000001427226000004/bmy-20251231.htm | https://www.bms.com/assets/bms/us/en-us/pdf/investor-info/doc_financials/quarterly_reports/2026/ghBMY-Q2-2026-Earnings-Press-Release.pdf</t>
        </is>
      </c>
      <c r="O89" s="89" t="n">
        <v>3006</v>
      </c>
    </row>
    <row r="90">
      <c r="A90" s="83" t="inlineStr">
        <is>
          <t>BREYANZI</t>
        </is>
      </c>
      <c r="B90" s="83" t="inlineStr">
        <is>
          <t>Bristol Myers Squibb</t>
        </is>
      </c>
      <c r="C90" s="83" t="inlineStr">
        <is>
          <t>Breyanzi</t>
        </is>
      </c>
      <c r="D90" s="83" t="inlineStr">
        <is>
          <t>lisocabtagene maraleucel</t>
        </is>
      </c>
      <c r="E90" s="83" t="inlineStr">
        <is>
          <t>B-cell lymphoma cell-therapy benchmark</t>
        </is>
      </c>
      <c r="F90" s="83" t="inlineStr">
        <is>
          <t>2033</t>
        </is>
      </c>
      <c r="G90" s="83" t="n">
        <v>2033</v>
      </c>
      <c r="H90" s="83" t="inlineStr">
        <is>
          <t>projected</t>
        </is>
      </c>
      <c r="I90" s="90" t="n"/>
      <c r="J90" s="91" t="n">
        <v>-0.1001330671989354</v>
      </c>
      <c r="K90" s="92">
        <f>K89*(1+J90)</f>
        <v/>
      </c>
      <c r="L90" s="83" t="inlineStr">
        <is>
          <t>Current minimum LOE</t>
        </is>
      </c>
      <c r="M90" s="83" t="inlineStr">
        <is>
          <t>2026E annualizes H1 2026. The scenario assumes continued uptake followed by erosion at the currently disclosed minimum exclusivity date.</t>
        </is>
      </c>
      <c r="N90" s="83" t="inlineStr">
        <is>
          <t>https://www.sec.gov/Archives/edgar/data/14272/000001427226000004/bmy-20251231.htm | https://www.bms.com/assets/bms/us/en-us/pdf/investor-info/doc_financials/quarterly_reports/2026/ghBMY-Q2-2026-Earnings-Press-Release.pdf</t>
        </is>
      </c>
      <c r="O90" s="90" t="n">
        <v>2705</v>
      </c>
    </row>
    <row r="91">
      <c r="A91" s="84" t="inlineStr">
        <is>
          <t>BREYANZI</t>
        </is>
      </c>
      <c r="B91" s="84" t="inlineStr">
        <is>
          <t>Bristol Myers Squibb</t>
        </is>
      </c>
      <c r="C91" s="84" t="inlineStr">
        <is>
          <t>Breyanzi</t>
        </is>
      </c>
      <c r="D91" s="84" t="inlineStr">
        <is>
          <t>lisocabtagene maraleucel</t>
        </is>
      </c>
      <c r="E91" s="84" t="inlineStr">
        <is>
          <t>B-cell lymphoma cell-therapy benchmark</t>
        </is>
      </c>
      <c r="F91" s="84" t="inlineStr">
        <is>
          <t>2034</t>
        </is>
      </c>
      <c r="G91" s="84" t="n">
        <v>2034</v>
      </c>
      <c r="H91" s="84" t="inlineStr">
        <is>
          <t>projected</t>
        </is>
      </c>
      <c r="I91" s="89" t="n"/>
      <c r="J91" s="93" t="n">
        <v>-0.2</v>
      </c>
      <c r="K91" s="88">
        <f>K90*(1+J91)</f>
        <v/>
      </c>
      <c r="L91" s="84" t="inlineStr">
        <is>
          <t>Potential US extension</t>
        </is>
      </c>
      <c r="M91" s="84" t="inlineStr">
        <is>
          <t>2026E annualizes H1 2026. The scenario assumes continued uptake followed by erosion at the currently disclosed minimum exclusivity date.</t>
        </is>
      </c>
      <c r="N91" s="84" t="inlineStr">
        <is>
          <t>https://www.sec.gov/Archives/edgar/data/14272/000001427226000004/bmy-20251231.htm | https://www.bms.com/assets/bms/us/en-us/pdf/investor-info/doc_financials/quarterly_reports/2026/ghBMY-Q2-2026-Earnings-Press-Release.pdf</t>
        </is>
      </c>
      <c r="O91" s="89" t="n">
        <v>2164</v>
      </c>
    </row>
    <row r="92">
      <c r="A92" s="83" t="n"/>
      <c r="B92" s="83" t="n"/>
      <c r="C92" s="83" t="n"/>
      <c r="D92" s="83" t="n"/>
      <c r="E92" s="83" t="n"/>
      <c r="F92" s="83" t="n"/>
      <c r="G92" s="83" t="n"/>
      <c r="H92" s="83" t="n"/>
      <c r="I92" s="90" t="n"/>
      <c r="J92" s="94" t="n"/>
      <c r="K92" s="90" t="n"/>
      <c r="L92" s="83" t="n"/>
      <c r="M92" s="83" t="n"/>
      <c r="N92" s="83" t="n"/>
      <c r="O92" s="90" t="n"/>
    </row>
    <row r="93">
      <c r="A93" s="84" t="inlineStr">
        <is>
          <t>CAMZYOS</t>
        </is>
      </c>
      <c r="B93" s="84" t="inlineStr">
        <is>
          <t>Bristol Myers Squibb</t>
        </is>
      </c>
      <c r="C93" s="84" t="inlineStr">
        <is>
          <t>Camzyos</t>
        </is>
      </c>
      <c r="D93" s="84" t="inlineStr">
        <is>
          <t>mavacamten</t>
        </is>
      </c>
      <c r="E93" s="84" t="inlineStr">
        <is>
          <t>Cardiac-myosin commercial benchmark</t>
        </is>
      </c>
      <c r="F93" s="84" t="inlineStr">
        <is>
          <t>2023</t>
        </is>
      </c>
      <c r="G93" s="84" t="n">
        <v>2023</v>
      </c>
      <c r="H93" s="84" t="inlineStr">
        <is>
          <t>reported</t>
        </is>
      </c>
      <c r="I93" s="86" t="n">
        <v>231</v>
      </c>
      <c r="J93" s="87" t="n"/>
      <c r="K93" s="88">
        <f>I93</f>
        <v/>
      </c>
      <c r="L93" s="84" t="inlineStr"/>
      <c r="M93" s="84" t="inlineStr">
        <is>
          <t>2026E annualizes H1 2026. The scenario uses a maturing growth curve and applies erosion at the disclosed US patent expiry.</t>
        </is>
      </c>
      <c r="N93" s="84" t="inlineStr">
        <is>
          <t>https://www.sec.gov/Archives/edgar/data/14272/000001427226000004/bmy-20251231.htm | https://www.bms.com/assets/bms/us/en-us/pdf/investor-info/doc_financials/quarterly_reports/2026/ghBMY-Q2-2026-Earnings-Press-Release.pdf</t>
        </is>
      </c>
      <c r="O93" s="89" t="n">
        <v>231</v>
      </c>
    </row>
    <row r="94">
      <c r="A94" s="83" t="inlineStr">
        <is>
          <t>CAMZYOS</t>
        </is>
      </c>
      <c r="B94" s="83" t="inlineStr">
        <is>
          <t>Bristol Myers Squibb</t>
        </is>
      </c>
      <c r="C94" s="83" t="inlineStr">
        <is>
          <t>Camzyos</t>
        </is>
      </c>
      <c r="D94" s="83" t="inlineStr">
        <is>
          <t>mavacamten</t>
        </is>
      </c>
      <c r="E94" s="83" t="inlineStr">
        <is>
          <t>Cardiac-myosin commercial benchmark</t>
        </is>
      </c>
      <c r="F94" s="83" t="inlineStr">
        <is>
          <t>2024</t>
        </is>
      </c>
      <c r="G94" s="83" t="n">
        <v>2024</v>
      </c>
      <c r="H94" s="83" t="inlineStr">
        <is>
          <t>reported</t>
        </is>
      </c>
      <c r="I94" s="95" t="n">
        <v>602</v>
      </c>
      <c r="J94" s="94" t="n"/>
      <c r="K94" s="92">
        <f>I94</f>
        <v/>
      </c>
      <c r="L94" s="83" t="inlineStr"/>
      <c r="M94" s="83" t="inlineStr">
        <is>
          <t>2026E annualizes H1 2026. The scenario uses a maturing growth curve and applies erosion at the disclosed US patent expiry.</t>
        </is>
      </c>
      <c r="N94" s="83" t="inlineStr">
        <is>
          <t>https://www.sec.gov/Archives/edgar/data/14272/000001427226000004/bmy-20251231.htm | https://www.bms.com/assets/bms/us/en-us/pdf/investor-info/doc_financials/quarterly_reports/2026/ghBMY-Q2-2026-Earnings-Press-Release.pdf</t>
        </is>
      </c>
      <c r="O94" s="90" t="n">
        <v>602</v>
      </c>
    </row>
    <row r="95">
      <c r="A95" s="84" t="inlineStr">
        <is>
          <t>CAMZYOS</t>
        </is>
      </c>
      <c r="B95" s="84" t="inlineStr">
        <is>
          <t>Bristol Myers Squibb</t>
        </is>
      </c>
      <c r="C95" s="84" t="inlineStr">
        <is>
          <t>Camzyos</t>
        </is>
      </c>
      <c r="D95" s="84" t="inlineStr">
        <is>
          <t>mavacamten</t>
        </is>
      </c>
      <c r="E95" s="84" t="inlineStr">
        <is>
          <t>Cardiac-myosin commercial benchmark</t>
        </is>
      </c>
      <c r="F95" s="84" t="inlineStr">
        <is>
          <t>2025</t>
        </is>
      </c>
      <c r="G95" s="84" t="n">
        <v>2025</v>
      </c>
      <c r="H95" s="84" t="inlineStr">
        <is>
          <t>reported</t>
        </is>
      </c>
      <c r="I95" s="86" t="n">
        <v>1068</v>
      </c>
      <c r="J95" s="87" t="n"/>
      <c r="K95" s="88">
        <f>I95</f>
        <v/>
      </c>
      <c r="L95" s="84" t="inlineStr"/>
      <c r="M95" s="84" t="inlineStr">
        <is>
          <t>2026E annualizes H1 2026. The scenario uses a maturing growth curve and applies erosion at the disclosed US patent expiry.</t>
        </is>
      </c>
      <c r="N95" s="84" t="inlineStr">
        <is>
          <t>https://www.sec.gov/Archives/edgar/data/14272/000001427226000004/bmy-20251231.htm | https://www.bms.com/assets/bms/us/en-us/pdf/investor-info/doc_financials/quarterly_reports/2026/ghBMY-Q2-2026-Earnings-Press-Release.pdf</t>
        </is>
      </c>
      <c r="O95" s="89" t="n">
        <v>1068</v>
      </c>
    </row>
    <row r="96">
      <c r="A96" s="83" t="inlineStr">
        <is>
          <t>CAMZYOS</t>
        </is>
      </c>
      <c r="B96" s="83" t="inlineStr">
        <is>
          <t>Bristol Myers Squibb</t>
        </is>
      </c>
      <c r="C96" s="83" t="inlineStr">
        <is>
          <t>Camzyos</t>
        </is>
      </c>
      <c r="D96" s="83" t="inlineStr">
        <is>
          <t>mavacamten</t>
        </is>
      </c>
      <c r="E96" s="83" t="inlineStr">
        <is>
          <t>Cardiac-myosin commercial benchmark</t>
        </is>
      </c>
      <c r="F96" s="83" t="inlineStr">
        <is>
          <t>2026E</t>
        </is>
      </c>
      <c r="G96" s="83" t="n">
        <v>2026</v>
      </c>
      <c r="H96" s="83" t="inlineStr">
        <is>
          <t>projected</t>
        </is>
      </c>
      <c r="I96" s="90" t="n"/>
      <c r="J96" s="91" t="n">
        <v>0.3651685393258426</v>
      </c>
      <c r="K96" s="92">
        <f>K95*(1+J96)</f>
        <v/>
      </c>
      <c r="L96" s="83" t="inlineStr"/>
      <c r="M96" s="83" t="inlineStr">
        <is>
          <t>2026E annualizes H1 2026. The scenario uses a maturing growth curve and applies erosion at the disclosed US patent expiry.</t>
        </is>
      </c>
      <c r="N96" s="83" t="inlineStr">
        <is>
          <t>https://www.sec.gov/Archives/edgar/data/14272/000001427226000004/bmy-20251231.htm | https://www.bms.com/assets/bms/us/en-us/pdf/investor-info/doc_financials/quarterly_reports/2026/ghBMY-Q2-2026-Earnings-Press-Release.pdf</t>
        </is>
      </c>
      <c r="O96" s="90" t="n">
        <v>1458</v>
      </c>
    </row>
    <row r="97">
      <c r="A97" s="84" t="inlineStr">
        <is>
          <t>CAMZYOS</t>
        </is>
      </c>
      <c r="B97" s="84" t="inlineStr">
        <is>
          <t>Bristol Myers Squibb</t>
        </is>
      </c>
      <c r="C97" s="84" t="inlineStr">
        <is>
          <t>Camzyos</t>
        </is>
      </c>
      <c r="D97" s="84" t="inlineStr">
        <is>
          <t>mavacamten</t>
        </is>
      </c>
      <c r="E97" s="84" t="inlineStr">
        <is>
          <t>Cardiac-myosin commercial benchmark</t>
        </is>
      </c>
      <c r="F97" s="84" t="inlineStr">
        <is>
          <t>2027</t>
        </is>
      </c>
      <c r="G97" s="84" t="n">
        <v>2027</v>
      </c>
      <c r="H97" s="84" t="inlineStr">
        <is>
          <t>projected</t>
        </is>
      </c>
      <c r="I97" s="89" t="n"/>
      <c r="J97" s="93" t="n">
        <v>0.2441700960219479</v>
      </c>
      <c r="K97" s="88">
        <f>K96*(1+J97)</f>
        <v/>
      </c>
      <c r="L97" s="84" t="inlineStr"/>
      <c r="M97" s="84" t="inlineStr">
        <is>
          <t>2026E annualizes H1 2026. The scenario uses a maturing growth curve and applies erosion at the disclosed US patent expiry.</t>
        </is>
      </c>
      <c r="N97" s="84" t="inlineStr">
        <is>
          <t>https://www.sec.gov/Archives/edgar/data/14272/000001427226000004/bmy-20251231.htm | https://www.bms.com/assets/bms/us/en-us/pdf/investor-info/doc_financials/quarterly_reports/2026/ghBMY-Q2-2026-Earnings-Press-Release.pdf</t>
        </is>
      </c>
      <c r="O97" s="89" t="n">
        <v>1814</v>
      </c>
    </row>
    <row r="98">
      <c r="A98" s="83" t="inlineStr">
        <is>
          <t>CAMZYOS</t>
        </is>
      </c>
      <c r="B98" s="83" t="inlineStr">
        <is>
          <t>Bristol Myers Squibb</t>
        </is>
      </c>
      <c r="C98" s="83" t="inlineStr">
        <is>
          <t>Camzyos</t>
        </is>
      </c>
      <c r="D98" s="83" t="inlineStr">
        <is>
          <t>mavacamten</t>
        </is>
      </c>
      <c r="E98" s="83" t="inlineStr">
        <is>
          <t>Cardiac-myosin commercial benchmark</t>
        </is>
      </c>
      <c r="F98" s="83" t="inlineStr">
        <is>
          <t>2028</t>
        </is>
      </c>
      <c r="G98" s="83" t="n">
        <v>2028</v>
      </c>
      <c r="H98" s="83" t="inlineStr">
        <is>
          <t>projected</t>
        </is>
      </c>
      <c r="I98" s="90" t="n"/>
      <c r="J98" s="91" t="n">
        <v>0.1802646085997794</v>
      </c>
      <c r="K98" s="92">
        <f>K97*(1+J98)</f>
        <v/>
      </c>
      <c r="L98" s="83" t="inlineStr"/>
      <c r="M98" s="83" t="inlineStr">
        <is>
          <t>2026E annualizes H1 2026. The scenario uses a maturing growth curve and applies erosion at the disclosed US patent expiry.</t>
        </is>
      </c>
      <c r="N98" s="83" t="inlineStr">
        <is>
          <t>https://www.sec.gov/Archives/edgar/data/14272/000001427226000004/bmy-20251231.htm | https://www.bms.com/assets/bms/us/en-us/pdf/investor-info/doc_financials/quarterly_reports/2026/ghBMY-Q2-2026-Earnings-Press-Release.pdf</t>
        </is>
      </c>
      <c r="O98" s="90" t="n">
        <v>2141</v>
      </c>
    </row>
    <row r="99">
      <c r="A99" s="84" t="inlineStr">
        <is>
          <t>CAMZYOS</t>
        </is>
      </c>
      <c r="B99" s="84" t="inlineStr">
        <is>
          <t>Bristol Myers Squibb</t>
        </is>
      </c>
      <c r="C99" s="84" t="inlineStr">
        <is>
          <t>Camzyos</t>
        </is>
      </c>
      <c r="D99" s="84" t="inlineStr">
        <is>
          <t>mavacamten</t>
        </is>
      </c>
      <c r="E99" s="84" t="inlineStr">
        <is>
          <t>Cardiac-myosin commercial benchmark</t>
        </is>
      </c>
      <c r="F99" s="84" t="inlineStr">
        <is>
          <t>2029</t>
        </is>
      </c>
      <c r="G99" s="84" t="n">
        <v>2029</v>
      </c>
      <c r="H99" s="84" t="inlineStr">
        <is>
          <t>projected</t>
        </is>
      </c>
      <c r="I99" s="89" t="n"/>
      <c r="J99" s="93" t="n">
        <v>0.1200373657169547</v>
      </c>
      <c r="K99" s="88">
        <f>K98*(1+J99)</f>
        <v/>
      </c>
      <c r="L99" s="84" t="inlineStr"/>
      <c r="M99" s="84" t="inlineStr">
        <is>
          <t>2026E annualizes H1 2026. The scenario uses a maturing growth curve and applies erosion at the disclosed US patent expiry.</t>
        </is>
      </c>
      <c r="N99" s="84" t="inlineStr">
        <is>
          <t>https://www.sec.gov/Archives/edgar/data/14272/000001427226000004/bmy-20251231.htm | https://www.bms.com/assets/bms/us/en-us/pdf/investor-info/doc_financials/quarterly_reports/2026/ghBMY-Q2-2026-Earnings-Press-Release.pdf</t>
        </is>
      </c>
      <c r="O99" s="89" t="n">
        <v>2398</v>
      </c>
    </row>
    <row r="100">
      <c r="A100" s="83" t="inlineStr">
        <is>
          <t>CAMZYOS</t>
        </is>
      </c>
      <c r="B100" s="83" t="inlineStr">
        <is>
          <t>Bristol Myers Squibb</t>
        </is>
      </c>
      <c r="C100" s="83" t="inlineStr">
        <is>
          <t>Camzyos</t>
        </is>
      </c>
      <c r="D100" s="83" t="inlineStr">
        <is>
          <t>mavacamten</t>
        </is>
      </c>
      <c r="E100" s="83" t="inlineStr">
        <is>
          <t>Cardiac-myosin commercial benchmark</t>
        </is>
      </c>
      <c r="F100" s="83" t="inlineStr">
        <is>
          <t>2030</t>
        </is>
      </c>
      <c r="G100" s="83" t="n">
        <v>2030</v>
      </c>
      <c r="H100" s="83" t="inlineStr">
        <is>
          <t>projected</t>
        </is>
      </c>
      <c r="I100" s="90" t="n"/>
      <c r="J100" s="91" t="n">
        <v>0.08006672226855716</v>
      </c>
      <c r="K100" s="92">
        <f>K99*(1+J100)</f>
        <v/>
      </c>
      <c r="L100" s="83" t="inlineStr"/>
      <c r="M100" s="83" t="inlineStr">
        <is>
          <t>2026E annualizes H1 2026. The scenario uses a maturing growth curve and applies erosion at the disclosed US patent expiry.</t>
        </is>
      </c>
      <c r="N100" s="83" t="inlineStr">
        <is>
          <t>https://www.sec.gov/Archives/edgar/data/14272/000001427226000004/bmy-20251231.htm | https://www.bms.com/assets/bms/us/en-us/pdf/investor-info/doc_financials/quarterly_reports/2026/ghBMY-Q2-2026-Earnings-Press-Release.pdf</t>
        </is>
      </c>
      <c r="O100" s="90" t="n">
        <v>2590</v>
      </c>
    </row>
    <row r="101">
      <c r="A101" s="84" t="inlineStr">
        <is>
          <t>CAMZYOS</t>
        </is>
      </c>
      <c r="B101" s="84" t="inlineStr">
        <is>
          <t>Bristol Myers Squibb</t>
        </is>
      </c>
      <c r="C101" s="84" t="inlineStr">
        <is>
          <t>Camzyos</t>
        </is>
      </c>
      <c r="D101" s="84" t="inlineStr">
        <is>
          <t>mavacamten</t>
        </is>
      </c>
      <c r="E101" s="84" t="inlineStr">
        <is>
          <t>Cardiac-myosin commercial benchmark</t>
        </is>
      </c>
      <c r="F101" s="84" t="inlineStr">
        <is>
          <t>2031</t>
        </is>
      </c>
      <c r="G101" s="84" t="n">
        <v>2031</v>
      </c>
      <c r="H101" s="84" t="inlineStr">
        <is>
          <t>projected</t>
        </is>
      </c>
      <c r="I101" s="89" t="n"/>
      <c r="J101" s="93" t="n">
        <v>0.05984555984555984</v>
      </c>
      <c r="K101" s="88">
        <f>K100*(1+J101)</f>
        <v/>
      </c>
      <c r="L101" s="84" t="inlineStr"/>
      <c r="M101" s="84" t="inlineStr">
        <is>
          <t>2026E annualizes H1 2026. The scenario uses a maturing growth curve and applies erosion at the disclosed US patent expiry.</t>
        </is>
      </c>
      <c r="N101" s="84" t="inlineStr">
        <is>
          <t>https://www.sec.gov/Archives/edgar/data/14272/000001427226000004/bmy-20251231.htm | https://www.bms.com/assets/bms/us/en-us/pdf/investor-info/doc_financials/quarterly_reports/2026/ghBMY-Q2-2026-Earnings-Press-Release.pdf</t>
        </is>
      </c>
      <c r="O101" s="89" t="n">
        <v>2745</v>
      </c>
    </row>
    <row r="102">
      <c r="A102" s="83" t="inlineStr">
        <is>
          <t>CAMZYOS</t>
        </is>
      </c>
      <c r="B102" s="83" t="inlineStr">
        <is>
          <t>Bristol Myers Squibb</t>
        </is>
      </c>
      <c r="C102" s="83" t="inlineStr">
        <is>
          <t>Camzyos</t>
        </is>
      </c>
      <c r="D102" s="83" t="inlineStr">
        <is>
          <t>mavacamten</t>
        </is>
      </c>
      <c r="E102" s="83" t="inlineStr">
        <is>
          <t>Cardiac-myosin commercial benchmark</t>
        </is>
      </c>
      <c r="F102" s="83" t="inlineStr">
        <is>
          <t>2032</t>
        </is>
      </c>
      <c r="G102" s="83" t="n">
        <v>2032</v>
      </c>
      <c r="H102" s="83" t="inlineStr">
        <is>
          <t>projected</t>
        </is>
      </c>
      <c r="I102" s="90" t="n"/>
      <c r="J102" s="91" t="n">
        <v>0.04007285974499086</v>
      </c>
      <c r="K102" s="92">
        <f>K101*(1+J102)</f>
        <v/>
      </c>
      <c r="L102" s="83" t="inlineStr"/>
      <c r="M102" s="83" t="inlineStr">
        <is>
          <t>2026E annualizes H1 2026. The scenario uses a maturing growth curve and applies erosion at the disclosed US patent expiry.</t>
        </is>
      </c>
      <c r="N102" s="83" t="inlineStr">
        <is>
          <t>https://www.sec.gov/Archives/edgar/data/14272/000001427226000004/bmy-20251231.htm | https://www.bms.com/assets/bms/us/en-us/pdf/investor-info/doc_financials/quarterly_reports/2026/ghBMY-Q2-2026-Earnings-Press-Release.pdf</t>
        </is>
      </c>
      <c r="O102" s="90" t="n">
        <v>2855</v>
      </c>
    </row>
    <row r="103">
      <c r="A103" s="84" t="inlineStr">
        <is>
          <t>CAMZYOS</t>
        </is>
      </c>
      <c r="B103" s="84" t="inlineStr">
        <is>
          <t>Bristol Myers Squibb</t>
        </is>
      </c>
      <c r="C103" s="84" t="inlineStr">
        <is>
          <t>Camzyos</t>
        </is>
      </c>
      <c r="D103" s="84" t="inlineStr">
        <is>
          <t>mavacamten</t>
        </is>
      </c>
      <c r="E103" s="84" t="inlineStr">
        <is>
          <t>Cardiac-myosin commercial benchmark</t>
        </is>
      </c>
      <c r="F103" s="84" t="inlineStr">
        <is>
          <t>2033</t>
        </is>
      </c>
      <c r="G103" s="84" t="n">
        <v>2033</v>
      </c>
      <c r="H103" s="84" t="inlineStr">
        <is>
          <t>projected</t>
        </is>
      </c>
      <c r="I103" s="89" t="n"/>
      <c r="J103" s="93" t="n">
        <v>0.03012259194395805</v>
      </c>
      <c r="K103" s="88">
        <f>K102*(1+J103)</f>
        <v/>
      </c>
      <c r="L103" s="84" t="inlineStr"/>
      <c r="M103" s="84" t="inlineStr">
        <is>
          <t>2026E annualizes H1 2026. The scenario uses a maturing growth curve and applies erosion at the disclosed US patent expiry.</t>
        </is>
      </c>
      <c r="N103" s="84" t="inlineStr">
        <is>
          <t>https://www.sec.gov/Archives/edgar/data/14272/000001427226000004/bmy-20251231.htm | https://www.bms.com/assets/bms/us/en-us/pdf/investor-info/doc_financials/quarterly_reports/2026/ghBMY-Q2-2026-Earnings-Press-Release.pdf</t>
        </is>
      </c>
      <c r="O103" s="89" t="n">
        <v>2941</v>
      </c>
    </row>
    <row r="104">
      <c r="A104" s="83" t="inlineStr">
        <is>
          <t>CAMZYOS</t>
        </is>
      </c>
      <c r="B104" s="83" t="inlineStr">
        <is>
          <t>Bristol Myers Squibb</t>
        </is>
      </c>
      <c r="C104" s="83" t="inlineStr">
        <is>
          <t>Camzyos</t>
        </is>
      </c>
      <c r="D104" s="83" t="inlineStr">
        <is>
          <t>mavacamten</t>
        </is>
      </c>
      <c r="E104" s="83" t="inlineStr">
        <is>
          <t>Cardiac-myosin commercial benchmark</t>
        </is>
      </c>
      <c r="F104" s="83" t="inlineStr">
        <is>
          <t>2034</t>
        </is>
      </c>
      <c r="G104" s="83" t="n">
        <v>2034</v>
      </c>
      <c r="H104" s="83" t="inlineStr">
        <is>
          <t>projected</t>
        </is>
      </c>
      <c r="I104" s="90" t="n"/>
      <c r="J104" s="91" t="n">
        <v>0.02992179530771844</v>
      </c>
      <c r="K104" s="92">
        <f>K103*(1+J104)</f>
        <v/>
      </c>
      <c r="L104" s="83" t="inlineStr"/>
      <c r="M104" s="83" t="inlineStr">
        <is>
          <t>2026E annualizes H1 2026. The scenario uses a maturing growth curve and applies erosion at the disclosed US patent expiry.</t>
        </is>
      </c>
      <c r="N104" s="83" t="inlineStr">
        <is>
          <t>https://www.sec.gov/Archives/edgar/data/14272/000001427226000004/bmy-20251231.htm | https://www.bms.com/assets/bms/us/en-us/pdf/investor-info/doc_financials/quarterly_reports/2026/ghBMY-Q2-2026-Earnings-Press-Release.pdf</t>
        </is>
      </c>
      <c r="O104" s="90" t="n">
        <v>3029</v>
      </c>
    </row>
    <row r="105">
      <c r="A105" s="84" t="inlineStr">
        <is>
          <t>CAMZYOS</t>
        </is>
      </c>
      <c r="B105" s="84" t="inlineStr">
        <is>
          <t>Bristol Myers Squibb</t>
        </is>
      </c>
      <c r="C105" s="84" t="inlineStr">
        <is>
          <t>Camzyos</t>
        </is>
      </c>
      <c r="D105" s="84" t="inlineStr">
        <is>
          <t>mavacamten</t>
        </is>
      </c>
      <c r="E105" s="84" t="inlineStr">
        <is>
          <t>Cardiac-myosin commercial benchmark</t>
        </is>
      </c>
      <c r="F105" s="84" t="inlineStr">
        <is>
          <t>2035</t>
        </is>
      </c>
      <c r="G105" s="84" t="n">
        <v>2035</v>
      </c>
      <c r="H105" s="84" t="inlineStr">
        <is>
          <t>projected</t>
        </is>
      </c>
      <c r="I105" s="89" t="n"/>
      <c r="J105" s="93" t="n">
        <v>0.02013865962363814</v>
      </c>
      <c r="K105" s="88">
        <f>K104*(1+J105)</f>
        <v/>
      </c>
      <c r="L105" s="84" t="inlineStr"/>
      <c r="M105" s="84" t="inlineStr">
        <is>
          <t>2026E annualizes H1 2026. The scenario uses a maturing growth curve and applies erosion at the disclosed US patent expiry.</t>
        </is>
      </c>
      <c r="N105" s="84" t="inlineStr">
        <is>
          <t>https://www.sec.gov/Archives/edgar/data/14272/000001427226000004/bmy-20251231.htm | https://www.bms.com/assets/bms/us/en-us/pdf/investor-info/doc_financials/quarterly_reports/2026/ghBMY-Q2-2026-Earnings-Press-Release.pdf</t>
        </is>
      </c>
      <c r="O105" s="89" t="n">
        <v>3090</v>
      </c>
    </row>
    <row r="106">
      <c r="A106" s="83" t="inlineStr">
        <is>
          <t>CAMZYOS</t>
        </is>
      </c>
      <c r="B106" s="83" t="inlineStr">
        <is>
          <t>Bristol Myers Squibb</t>
        </is>
      </c>
      <c r="C106" s="83" t="inlineStr">
        <is>
          <t>Camzyos</t>
        </is>
      </c>
      <c r="D106" s="83" t="inlineStr">
        <is>
          <t>mavacamten</t>
        </is>
      </c>
      <c r="E106" s="83" t="inlineStr">
        <is>
          <t>Cardiac-myosin commercial benchmark</t>
        </is>
      </c>
      <c r="F106" s="83" t="inlineStr">
        <is>
          <t>2036</t>
        </is>
      </c>
      <c r="G106" s="83" t="n">
        <v>2036</v>
      </c>
      <c r="H106" s="83" t="inlineStr">
        <is>
          <t>projected</t>
        </is>
      </c>
      <c r="I106" s="90" t="n"/>
      <c r="J106" s="91" t="n">
        <v>-0.2</v>
      </c>
      <c r="K106" s="92">
        <f>K105*(1+J106)</f>
        <v/>
      </c>
      <c r="L106" s="83" t="inlineStr">
        <is>
          <t>US LOE</t>
        </is>
      </c>
      <c r="M106" s="83" t="inlineStr">
        <is>
          <t>2026E annualizes H1 2026. The scenario uses a maturing growth curve and applies erosion at the disclosed US patent expiry.</t>
        </is>
      </c>
      <c r="N106" s="83" t="inlineStr">
        <is>
          <t>https://www.sec.gov/Archives/edgar/data/14272/000001427226000004/bmy-20251231.htm | https://www.bms.com/assets/bms/us/en-us/pdf/investor-info/doc_financials/quarterly_reports/2026/ghBMY-Q2-2026-Earnings-Press-Release.pdf</t>
        </is>
      </c>
      <c r="O106" s="90" t="n">
        <v>2472</v>
      </c>
    </row>
    <row r="107">
      <c r="A107" s="84" t="inlineStr">
        <is>
          <t>CAMZYOS</t>
        </is>
      </c>
      <c r="B107" s="84" t="inlineStr">
        <is>
          <t>Bristol Myers Squibb</t>
        </is>
      </c>
      <c r="C107" s="84" t="inlineStr">
        <is>
          <t>Camzyos</t>
        </is>
      </c>
      <c r="D107" s="84" t="inlineStr">
        <is>
          <t>mavacamten</t>
        </is>
      </c>
      <c r="E107" s="84" t="inlineStr">
        <is>
          <t>Cardiac-myosin commercial benchmark</t>
        </is>
      </c>
      <c r="F107" s="84" t="inlineStr">
        <is>
          <t>2037</t>
        </is>
      </c>
      <c r="G107" s="84" t="n">
        <v>2037</v>
      </c>
      <c r="H107" s="84" t="inlineStr">
        <is>
          <t>projected</t>
        </is>
      </c>
      <c r="I107" s="89" t="n"/>
      <c r="J107" s="93" t="n">
        <v>-0.4000809061488673</v>
      </c>
      <c r="K107" s="88">
        <f>K106*(1+J107)</f>
        <v/>
      </c>
      <c r="L107" s="84" t="inlineStr"/>
      <c r="M107" s="84" t="inlineStr">
        <is>
          <t>2026E annualizes H1 2026. The scenario uses a maturing growth curve and applies erosion at the disclosed US patent expiry.</t>
        </is>
      </c>
      <c r="N107" s="84" t="inlineStr">
        <is>
          <t>https://www.sec.gov/Archives/edgar/data/14272/000001427226000004/bmy-20251231.htm | https://www.bms.com/assets/bms/us/en-us/pdf/investor-info/doc_financials/quarterly_reports/2026/ghBMY-Q2-2026-Earnings-Press-Release.pdf</t>
        </is>
      </c>
      <c r="O107" s="89" t="n">
        <v>1483</v>
      </c>
    </row>
    <row r="108">
      <c r="A108" s="83" t="n"/>
      <c r="B108" s="83" t="n"/>
      <c r="C108" s="83" t="n"/>
      <c r="D108" s="83" t="n"/>
      <c r="E108" s="83" t="n"/>
      <c r="F108" s="83" t="n"/>
      <c r="G108" s="83" t="n"/>
      <c r="H108" s="83" t="n"/>
      <c r="I108" s="90" t="n"/>
      <c r="J108" s="94" t="n"/>
      <c r="K108" s="90" t="n"/>
      <c r="L108" s="83" t="n"/>
      <c r="M108" s="83" t="n"/>
      <c r="N108" s="83" t="n"/>
      <c r="O108" s="90" t="n"/>
    </row>
    <row r="109">
      <c r="A109" s="84" t="inlineStr">
        <is>
          <t>REVLIMID</t>
        </is>
      </c>
      <c r="B109" s="84" t="inlineStr">
        <is>
          <t>Bristol Myers Squibb</t>
        </is>
      </c>
      <c r="C109" s="84" t="inlineStr">
        <is>
          <t>Revlimid</t>
        </is>
      </c>
      <c r="D109" s="84" t="inlineStr">
        <is>
          <t>lenalidomide</t>
        </is>
      </c>
      <c r="E109" s="84" t="inlineStr">
        <is>
          <t>Multiple-myeloma franchise benchmark</t>
        </is>
      </c>
      <c r="F109" s="84" t="inlineStr">
        <is>
          <t>2023</t>
        </is>
      </c>
      <c r="G109" s="84" t="n">
        <v>2023</v>
      </c>
      <c r="H109" s="84" t="inlineStr">
        <is>
          <t>reported</t>
        </is>
      </c>
      <c r="I109" s="86" t="n">
        <v>6097</v>
      </c>
      <c r="J109" s="87" t="n"/>
      <c r="K109" s="88">
        <f>I109</f>
        <v/>
      </c>
      <c r="L109" s="84" t="inlineStr"/>
      <c r="M109" s="84" t="inlineStr">
        <is>
          <t>2026E annualizes H1 2026. The decline reflects unrestricted US generic entry from 31 January 2026 and existing generic competition outside the US.</t>
        </is>
      </c>
      <c r="N109" s="84" t="inlineStr">
        <is>
          <t>https://www.sec.gov/Archives/edgar/data/14272/000001427226000004/bmy-20251231.htm | https://www.bms.com/assets/bms/us/en-us/pdf/investor-info/doc_financials/quarterly_reports/2026/ghBMY-Q2-2026-Earnings-Press-Release.pdf</t>
        </is>
      </c>
      <c r="O109" s="89" t="n">
        <v>6097</v>
      </c>
    </row>
    <row r="110">
      <c r="A110" s="83" t="inlineStr">
        <is>
          <t>REVLIMID</t>
        </is>
      </c>
      <c r="B110" s="83" t="inlineStr">
        <is>
          <t>Bristol Myers Squibb</t>
        </is>
      </c>
      <c r="C110" s="83" t="inlineStr">
        <is>
          <t>Revlimid</t>
        </is>
      </c>
      <c r="D110" s="83" t="inlineStr">
        <is>
          <t>lenalidomide</t>
        </is>
      </c>
      <c r="E110" s="83" t="inlineStr">
        <is>
          <t>Multiple-myeloma franchise benchmark</t>
        </is>
      </c>
      <c r="F110" s="83" t="inlineStr">
        <is>
          <t>2024</t>
        </is>
      </c>
      <c r="G110" s="83" t="n">
        <v>2024</v>
      </c>
      <c r="H110" s="83" t="inlineStr">
        <is>
          <t>reported</t>
        </is>
      </c>
      <c r="I110" s="95" t="n">
        <v>5773</v>
      </c>
      <c r="J110" s="94" t="n"/>
      <c r="K110" s="92">
        <f>I110</f>
        <v/>
      </c>
      <c r="L110" s="83" t="inlineStr"/>
      <c r="M110" s="83" t="inlineStr">
        <is>
          <t>2026E annualizes H1 2026. The decline reflects unrestricted US generic entry from 31 January 2026 and existing generic competition outside the US.</t>
        </is>
      </c>
      <c r="N110" s="83" t="inlineStr">
        <is>
          <t>https://www.sec.gov/Archives/edgar/data/14272/000001427226000004/bmy-20251231.htm | https://www.bms.com/assets/bms/us/en-us/pdf/investor-info/doc_financials/quarterly_reports/2026/ghBMY-Q2-2026-Earnings-Press-Release.pdf</t>
        </is>
      </c>
      <c r="O110" s="90" t="n">
        <v>5773</v>
      </c>
    </row>
    <row r="111">
      <c r="A111" s="84" t="inlineStr">
        <is>
          <t>REVLIMID</t>
        </is>
      </c>
      <c r="B111" s="84" t="inlineStr">
        <is>
          <t>Bristol Myers Squibb</t>
        </is>
      </c>
      <c r="C111" s="84" t="inlineStr">
        <is>
          <t>Revlimid</t>
        </is>
      </c>
      <c r="D111" s="84" t="inlineStr">
        <is>
          <t>lenalidomide</t>
        </is>
      </c>
      <c r="E111" s="84" t="inlineStr">
        <is>
          <t>Multiple-myeloma franchise benchmark</t>
        </is>
      </c>
      <c r="F111" s="84" t="inlineStr">
        <is>
          <t>2025</t>
        </is>
      </c>
      <c r="G111" s="84" t="n">
        <v>2025</v>
      </c>
      <c r="H111" s="84" t="inlineStr">
        <is>
          <t>reported</t>
        </is>
      </c>
      <c r="I111" s="86" t="n">
        <v>2951</v>
      </c>
      <c r="J111" s="87" t="n"/>
      <c r="K111" s="88">
        <f>I111</f>
        <v/>
      </c>
      <c r="L111" s="84" t="inlineStr"/>
      <c r="M111" s="84" t="inlineStr">
        <is>
          <t>2026E annualizes H1 2026. The decline reflects unrestricted US generic entry from 31 January 2026 and existing generic competition outside the US.</t>
        </is>
      </c>
      <c r="N111" s="84" t="inlineStr">
        <is>
          <t>https://www.sec.gov/Archives/edgar/data/14272/000001427226000004/bmy-20251231.htm | https://www.bms.com/assets/bms/us/en-us/pdf/investor-info/doc_financials/quarterly_reports/2026/ghBMY-Q2-2026-Earnings-Press-Release.pdf</t>
        </is>
      </c>
      <c r="O111" s="89" t="n">
        <v>2951</v>
      </c>
    </row>
    <row r="112">
      <c r="A112" s="83" t="inlineStr">
        <is>
          <t>REVLIMID</t>
        </is>
      </c>
      <c r="B112" s="83" t="inlineStr">
        <is>
          <t>Bristol Myers Squibb</t>
        </is>
      </c>
      <c r="C112" s="83" t="inlineStr">
        <is>
          <t>Revlimid</t>
        </is>
      </c>
      <c r="D112" s="83" t="inlineStr">
        <is>
          <t>lenalidomide</t>
        </is>
      </c>
      <c r="E112" s="83" t="inlineStr">
        <is>
          <t>Multiple-myeloma franchise benchmark</t>
        </is>
      </c>
      <c r="F112" s="83" t="inlineStr">
        <is>
          <t>2026E</t>
        </is>
      </c>
      <c r="G112" s="83" t="n">
        <v>2026</v>
      </c>
      <c r="H112" s="83" t="inlineStr">
        <is>
          <t>projected</t>
        </is>
      </c>
      <c r="I112" s="90" t="n"/>
      <c r="J112" s="91" t="n">
        <v>-0.47610979329041</v>
      </c>
      <c r="K112" s="92">
        <f>K111*(1+J112)</f>
        <v/>
      </c>
      <c r="L112" s="83" t="inlineStr">
        <is>
          <t>Unrestricted US generics</t>
        </is>
      </c>
      <c r="M112" s="83" t="inlineStr">
        <is>
          <t>2026E annualizes H1 2026. The decline reflects unrestricted US generic entry from 31 January 2026 and existing generic competition outside the US.</t>
        </is>
      </c>
      <c r="N112" s="83" t="inlineStr">
        <is>
          <t>https://www.sec.gov/Archives/edgar/data/14272/000001427226000004/bmy-20251231.htm | https://www.bms.com/assets/bms/us/en-us/pdf/investor-info/doc_financials/quarterly_reports/2026/ghBMY-Q2-2026-Earnings-Press-Release.pdf</t>
        </is>
      </c>
      <c r="O112" s="90" t="n">
        <v>1546</v>
      </c>
    </row>
    <row r="113">
      <c r="A113" s="84" t="inlineStr">
        <is>
          <t>REVLIMID</t>
        </is>
      </c>
      <c r="B113" s="84" t="inlineStr">
        <is>
          <t>Bristol Myers Squibb</t>
        </is>
      </c>
      <c r="C113" s="84" t="inlineStr">
        <is>
          <t>Revlimid</t>
        </is>
      </c>
      <c r="D113" s="84" t="inlineStr">
        <is>
          <t>lenalidomide</t>
        </is>
      </c>
      <c r="E113" s="84" t="inlineStr">
        <is>
          <t>Multiple-myeloma franchise benchmark</t>
        </is>
      </c>
      <c r="F113" s="84" t="inlineStr">
        <is>
          <t>2027</t>
        </is>
      </c>
      <c r="G113" s="84" t="n">
        <v>2027</v>
      </c>
      <c r="H113" s="84" t="inlineStr">
        <is>
          <t>projected</t>
        </is>
      </c>
      <c r="I113" s="89" t="n"/>
      <c r="J113" s="93" t="n">
        <v>-0.4501940491591203</v>
      </c>
      <c r="K113" s="88">
        <f>K112*(1+J113)</f>
        <v/>
      </c>
      <c r="L113" s="84" t="inlineStr"/>
      <c r="M113" s="84" t="inlineStr">
        <is>
          <t>2026E annualizes H1 2026. The decline reflects unrestricted US generic entry from 31 January 2026 and existing generic competition outside the US.</t>
        </is>
      </c>
      <c r="N113" s="84" t="inlineStr">
        <is>
          <t>https://www.sec.gov/Archives/edgar/data/14272/000001427226000004/bmy-20251231.htm | https://www.bms.com/assets/bms/us/en-us/pdf/investor-info/doc_financials/quarterly_reports/2026/ghBMY-Q2-2026-Earnings-Press-Release.pdf</t>
        </is>
      </c>
      <c r="O113" s="89" t="n">
        <v>850</v>
      </c>
    </row>
    <row r="114">
      <c r="A114" s="83" t="inlineStr">
        <is>
          <t>REVLIMID</t>
        </is>
      </c>
      <c r="B114" s="83" t="inlineStr">
        <is>
          <t>Bristol Myers Squibb</t>
        </is>
      </c>
      <c r="C114" s="83" t="inlineStr">
        <is>
          <t>Revlimid</t>
        </is>
      </c>
      <c r="D114" s="83" t="inlineStr">
        <is>
          <t>lenalidomide</t>
        </is>
      </c>
      <c r="E114" s="83" t="inlineStr">
        <is>
          <t>Multiple-myeloma franchise benchmark</t>
        </is>
      </c>
      <c r="F114" s="83" t="inlineStr">
        <is>
          <t>2028</t>
        </is>
      </c>
      <c r="G114" s="83" t="n">
        <v>2028</v>
      </c>
      <c r="H114" s="83" t="inlineStr">
        <is>
          <t>projected</t>
        </is>
      </c>
      <c r="I114" s="90" t="n"/>
      <c r="J114" s="91" t="n">
        <v>-0.3529411764705882</v>
      </c>
      <c r="K114" s="92">
        <f>K113*(1+J114)</f>
        <v/>
      </c>
      <c r="L114" s="83" t="inlineStr"/>
      <c r="M114" s="83" t="inlineStr">
        <is>
          <t>2026E annualizes H1 2026. The decline reflects unrestricted US generic entry from 31 January 2026 and existing generic competition outside the US.</t>
        </is>
      </c>
      <c r="N114" s="83" t="inlineStr">
        <is>
          <t>https://www.sec.gov/Archives/edgar/data/14272/000001427226000004/bmy-20251231.htm | https://www.bms.com/assets/bms/us/en-us/pdf/investor-info/doc_financials/quarterly_reports/2026/ghBMY-Q2-2026-Earnings-Press-Release.pdf</t>
        </is>
      </c>
      <c r="O114" s="90" t="n">
        <v>550</v>
      </c>
    </row>
    <row r="115">
      <c r="A115" s="84" t="inlineStr">
        <is>
          <t>REVLIMID</t>
        </is>
      </c>
      <c r="B115" s="84" t="inlineStr">
        <is>
          <t>Bristol Myers Squibb</t>
        </is>
      </c>
      <c r="C115" s="84" t="inlineStr">
        <is>
          <t>Revlimid</t>
        </is>
      </c>
      <c r="D115" s="84" t="inlineStr">
        <is>
          <t>lenalidomide</t>
        </is>
      </c>
      <c r="E115" s="84" t="inlineStr">
        <is>
          <t>Multiple-myeloma franchise benchmark</t>
        </is>
      </c>
      <c r="F115" s="84" t="inlineStr">
        <is>
          <t>2029</t>
        </is>
      </c>
      <c r="G115" s="84" t="n">
        <v>2029</v>
      </c>
      <c r="H115" s="84" t="inlineStr">
        <is>
          <t>projected</t>
        </is>
      </c>
      <c r="I115" s="89" t="n"/>
      <c r="J115" s="93" t="n">
        <v>-0.2727272727272727</v>
      </c>
      <c r="K115" s="88">
        <f>K114*(1+J115)</f>
        <v/>
      </c>
      <c r="L115" s="84" t="inlineStr"/>
      <c r="M115" s="84" t="inlineStr">
        <is>
          <t>2026E annualizes H1 2026. The decline reflects unrestricted US generic entry from 31 January 2026 and existing generic competition outside the US.</t>
        </is>
      </c>
      <c r="N115" s="84" t="inlineStr">
        <is>
          <t>https://www.sec.gov/Archives/edgar/data/14272/000001427226000004/bmy-20251231.htm | https://www.bms.com/assets/bms/us/en-us/pdf/investor-info/doc_financials/quarterly_reports/2026/ghBMY-Q2-2026-Earnings-Press-Release.pdf</t>
        </is>
      </c>
      <c r="O115" s="89" t="n">
        <v>400</v>
      </c>
    </row>
    <row r="116">
      <c r="A116" s="83" t="inlineStr">
        <is>
          <t>REVLIMID</t>
        </is>
      </c>
      <c r="B116" s="83" t="inlineStr">
        <is>
          <t>Bristol Myers Squibb</t>
        </is>
      </c>
      <c r="C116" s="83" t="inlineStr">
        <is>
          <t>Revlimid</t>
        </is>
      </c>
      <c r="D116" s="83" t="inlineStr">
        <is>
          <t>lenalidomide</t>
        </is>
      </c>
      <c r="E116" s="83" t="inlineStr">
        <is>
          <t>Multiple-myeloma franchise benchmark</t>
        </is>
      </c>
      <c r="F116" s="83" t="inlineStr">
        <is>
          <t>2030</t>
        </is>
      </c>
      <c r="G116" s="83" t="n">
        <v>2030</v>
      </c>
      <c r="H116" s="83" t="inlineStr">
        <is>
          <t>projected</t>
        </is>
      </c>
      <c r="I116" s="90" t="n"/>
      <c r="J116" s="91" t="n">
        <v>-0.25</v>
      </c>
      <c r="K116" s="92">
        <f>K115*(1+J116)</f>
        <v/>
      </c>
      <c r="L116" s="83" t="inlineStr"/>
      <c r="M116" s="83" t="inlineStr">
        <is>
          <t>2026E annualizes H1 2026. The decline reflects unrestricted US generic entry from 31 January 2026 and existing generic competition outside the US.</t>
        </is>
      </c>
      <c r="N116" s="83" t="inlineStr">
        <is>
          <t>https://www.sec.gov/Archives/edgar/data/14272/000001427226000004/bmy-20251231.htm | https://www.bms.com/assets/bms/us/en-us/pdf/investor-info/doc_financials/quarterly_reports/2026/ghBMY-Q2-2026-Earnings-Press-Release.pdf</t>
        </is>
      </c>
      <c r="O116" s="90" t="n">
        <v>300</v>
      </c>
    </row>
    <row r="117">
      <c r="A117" s="84" t="inlineStr">
        <is>
          <t>REVLIMID</t>
        </is>
      </c>
      <c r="B117" s="84" t="inlineStr">
        <is>
          <t>Bristol Myers Squibb</t>
        </is>
      </c>
      <c r="C117" s="84" t="inlineStr">
        <is>
          <t>Revlimid</t>
        </is>
      </c>
      <c r="D117" s="84" t="inlineStr">
        <is>
          <t>lenalidomide</t>
        </is>
      </c>
      <c r="E117" s="84" t="inlineStr">
        <is>
          <t>Multiple-myeloma franchise benchmark</t>
        </is>
      </c>
      <c r="F117" s="84" t="inlineStr">
        <is>
          <t>2031</t>
        </is>
      </c>
      <c r="G117" s="84" t="n">
        <v>2031</v>
      </c>
      <c r="H117" s="84" t="inlineStr">
        <is>
          <t>projected</t>
        </is>
      </c>
      <c r="I117" s="89" t="n"/>
      <c r="J117" s="93" t="n">
        <v>-0.1666666666666666</v>
      </c>
      <c r="K117" s="88">
        <f>K116*(1+J117)</f>
        <v/>
      </c>
      <c r="L117" s="84" t="inlineStr"/>
      <c r="M117" s="84" t="inlineStr">
        <is>
          <t>2026E annualizes H1 2026. The decline reflects unrestricted US generic entry from 31 January 2026 and existing generic competition outside the US.</t>
        </is>
      </c>
      <c r="N117" s="84" t="inlineStr">
        <is>
          <t>https://www.sec.gov/Archives/edgar/data/14272/000001427226000004/bmy-20251231.htm | https://www.bms.com/assets/bms/us/en-us/pdf/investor-info/doc_financials/quarterly_reports/2026/ghBMY-Q2-2026-Earnings-Press-Release.pdf</t>
        </is>
      </c>
      <c r="O117" s="89" t="n">
        <v>250</v>
      </c>
    </row>
    <row r="118">
      <c r="A118" s="83" t="n"/>
      <c r="B118" s="83" t="n"/>
      <c r="C118" s="83" t="n"/>
      <c r="D118" s="83" t="n"/>
      <c r="E118" s="83" t="n"/>
      <c r="F118" s="83" t="n"/>
      <c r="G118" s="83" t="n"/>
      <c r="H118" s="83" t="n"/>
      <c r="I118" s="90" t="n"/>
      <c r="J118" s="94" t="n"/>
      <c r="K118" s="90" t="n"/>
      <c r="L118" s="83" t="n"/>
      <c r="M118" s="83" t="n"/>
      <c r="N118" s="83" t="n"/>
      <c r="O118" s="90" t="n"/>
    </row>
    <row r="119">
      <c r="A119" s="84" t="inlineStr">
        <is>
          <t>POMALYST</t>
        </is>
      </c>
      <c r="B119" s="84" t="inlineStr">
        <is>
          <t>Bristol Myers Squibb</t>
        </is>
      </c>
      <c r="C119" s="84" t="inlineStr">
        <is>
          <t>Pomalyst / Imnovid</t>
        </is>
      </c>
      <c r="D119" s="84" t="inlineStr">
        <is>
          <t>pomalidomide</t>
        </is>
      </c>
      <c r="E119" s="84" t="inlineStr">
        <is>
          <t>Multiple-myeloma franchise benchmark</t>
        </is>
      </c>
      <c r="F119" s="84" t="inlineStr">
        <is>
          <t>2023</t>
        </is>
      </c>
      <c r="G119" s="84" t="n">
        <v>2023</v>
      </c>
      <c r="H119" s="84" t="inlineStr">
        <is>
          <t>reported</t>
        </is>
      </c>
      <c r="I119" s="86" t="n">
        <v>3441</v>
      </c>
      <c r="J119" s="87" t="n"/>
      <c r="K119" s="88">
        <f>I119</f>
        <v/>
      </c>
      <c r="L119" s="84" t="inlineStr"/>
      <c r="M119" s="84" t="inlineStr">
        <is>
          <t>2026E annualizes H1 2026. The decline reflects expected US generic entry in Q1 2026 and existing European generic competition.</t>
        </is>
      </c>
      <c r="N119" s="84" t="inlineStr">
        <is>
          <t>https://www.sec.gov/Archives/edgar/data/14272/000001427226000004/bmy-20251231.htm | https://www.bms.com/assets/bms/us/en-us/pdf/investor-info/doc_financials/quarterly_reports/2026/ghBMY-Q2-2026-Earnings-Press-Release.pdf</t>
        </is>
      </c>
      <c r="O119" s="89" t="n">
        <v>3441</v>
      </c>
    </row>
    <row r="120">
      <c r="A120" s="83" t="inlineStr">
        <is>
          <t>POMALYST</t>
        </is>
      </c>
      <c r="B120" s="83" t="inlineStr">
        <is>
          <t>Bristol Myers Squibb</t>
        </is>
      </c>
      <c r="C120" s="83" t="inlineStr">
        <is>
          <t>Pomalyst / Imnovid</t>
        </is>
      </c>
      <c r="D120" s="83" t="inlineStr">
        <is>
          <t>pomalidomide</t>
        </is>
      </c>
      <c r="E120" s="83" t="inlineStr">
        <is>
          <t>Multiple-myeloma franchise benchmark</t>
        </is>
      </c>
      <c r="F120" s="83" t="inlineStr">
        <is>
          <t>2024</t>
        </is>
      </c>
      <c r="G120" s="83" t="n">
        <v>2024</v>
      </c>
      <c r="H120" s="83" t="inlineStr">
        <is>
          <t>reported</t>
        </is>
      </c>
      <c r="I120" s="95" t="n">
        <v>3545</v>
      </c>
      <c r="J120" s="94" t="n"/>
      <c r="K120" s="92">
        <f>I120</f>
        <v/>
      </c>
      <c r="L120" s="83" t="inlineStr"/>
      <c r="M120" s="83" t="inlineStr">
        <is>
          <t>2026E annualizes H1 2026. The decline reflects expected US generic entry in Q1 2026 and existing European generic competition.</t>
        </is>
      </c>
      <c r="N120" s="83" t="inlineStr">
        <is>
          <t>https://www.sec.gov/Archives/edgar/data/14272/000001427226000004/bmy-20251231.htm | https://www.bms.com/assets/bms/us/en-us/pdf/investor-info/doc_financials/quarterly_reports/2026/ghBMY-Q2-2026-Earnings-Press-Release.pdf</t>
        </is>
      </c>
      <c r="O120" s="90" t="n">
        <v>3545</v>
      </c>
    </row>
    <row r="121">
      <c r="A121" s="84" t="inlineStr">
        <is>
          <t>POMALYST</t>
        </is>
      </c>
      <c r="B121" s="84" t="inlineStr">
        <is>
          <t>Bristol Myers Squibb</t>
        </is>
      </c>
      <c r="C121" s="84" t="inlineStr">
        <is>
          <t>Pomalyst / Imnovid</t>
        </is>
      </c>
      <c r="D121" s="84" t="inlineStr">
        <is>
          <t>pomalidomide</t>
        </is>
      </c>
      <c r="E121" s="84" t="inlineStr">
        <is>
          <t>Multiple-myeloma franchise benchmark</t>
        </is>
      </c>
      <c r="F121" s="84" t="inlineStr">
        <is>
          <t>2025</t>
        </is>
      </c>
      <c r="G121" s="84" t="n">
        <v>2025</v>
      </c>
      <c r="H121" s="84" t="inlineStr">
        <is>
          <t>reported</t>
        </is>
      </c>
      <c r="I121" s="86" t="n">
        <v>2733</v>
      </c>
      <c r="J121" s="87" t="n"/>
      <c r="K121" s="88">
        <f>I121</f>
        <v/>
      </c>
      <c r="L121" s="84" t="inlineStr"/>
      <c r="M121" s="84" t="inlineStr">
        <is>
          <t>2026E annualizes H1 2026. The decline reflects expected US generic entry in Q1 2026 and existing European generic competition.</t>
        </is>
      </c>
      <c r="N121" s="84" t="inlineStr">
        <is>
          <t>https://www.sec.gov/Archives/edgar/data/14272/000001427226000004/bmy-20251231.htm | https://www.bms.com/assets/bms/us/en-us/pdf/investor-info/doc_financials/quarterly_reports/2026/ghBMY-Q2-2026-Earnings-Press-Release.pdf</t>
        </is>
      </c>
      <c r="O121" s="89" t="n">
        <v>2733</v>
      </c>
    </row>
    <row r="122">
      <c r="A122" s="83" t="inlineStr">
        <is>
          <t>POMALYST</t>
        </is>
      </c>
      <c r="B122" s="83" t="inlineStr">
        <is>
          <t>Bristol Myers Squibb</t>
        </is>
      </c>
      <c r="C122" s="83" t="inlineStr">
        <is>
          <t>Pomalyst / Imnovid</t>
        </is>
      </c>
      <c r="D122" s="83" t="inlineStr">
        <is>
          <t>pomalidomide</t>
        </is>
      </c>
      <c r="E122" s="83" t="inlineStr">
        <is>
          <t>Multiple-myeloma franchise benchmark</t>
        </is>
      </c>
      <c r="F122" s="83" t="inlineStr">
        <is>
          <t>2026E</t>
        </is>
      </c>
      <c r="G122" s="83" t="n">
        <v>2026</v>
      </c>
      <c r="H122" s="83" t="inlineStr">
        <is>
          <t>projected</t>
        </is>
      </c>
      <c r="I122" s="90" t="n"/>
      <c r="J122" s="91" t="n">
        <v>-0.4753018660812294</v>
      </c>
      <c r="K122" s="92">
        <f>K121*(1+J122)</f>
        <v/>
      </c>
      <c r="L122" s="83" t="inlineStr">
        <is>
          <t>US/Japan LOE</t>
        </is>
      </c>
      <c r="M122" s="83" t="inlineStr">
        <is>
          <t>2026E annualizes H1 2026. The decline reflects expected US generic entry in Q1 2026 and existing European generic competition.</t>
        </is>
      </c>
      <c r="N122" s="83" t="inlineStr">
        <is>
          <t>https://www.sec.gov/Archives/edgar/data/14272/000001427226000004/bmy-20251231.htm | https://www.bms.com/assets/bms/us/en-us/pdf/investor-info/doc_financials/quarterly_reports/2026/ghBMY-Q2-2026-Earnings-Press-Release.pdf</t>
        </is>
      </c>
      <c r="O122" s="90" t="n">
        <v>1434</v>
      </c>
    </row>
    <row r="123">
      <c r="A123" s="84" t="inlineStr">
        <is>
          <t>POMALYST</t>
        </is>
      </c>
      <c r="B123" s="84" t="inlineStr">
        <is>
          <t>Bristol Myers Squibb</t>
        </is>
      </c>
      <c r="C123" s="84" t="inlineStr">
        <is>
          <t>Pomalyst / Imnovid</t>
        </is>
      </c>
      <c r="D123" s="84" t="inlineStr">
        <is>
          <t>pomalidomide</t>
        </is>
      </c>
      <c r="E123" s="84" t="inlineStr">
        <is>
          <t>Multiple-myeloma franchise benchmark</t>
        </is>
      </c>
      <c r="F123" s="84" t="inlineStr">
        <is>
          <t>2027</t>
        </is>
      </c>
      <c r="G123" s="84" t="n">
        <v>2027</v>
      </c>
      <c r="H123" s="84" t="inlineStr">
        <is>
          <t>projected</t>
        </is>
      </c>
      <c r="I123" s="89" t="n"/>
      <c r="J123" s="93" t="n">
        <v>-0.4400278940027894</v>
      </c>
      <c r="K123" s="88">
        <f>K122*(1+J123)</f>
        <v/>
      </c>
      <c r="L123" s="84" t="inlineStr"/>
      <c r="M123" s="84" t="inlineStr">
        <is>
          <t>2026E annualizes H1 2026. The decline reflects expected US generic entry in Q1 2026 and existing European generic competition.</t>
        </is>
      </c>
      <c r="N123" s="84" t="inlineStr">
        <is>
          <t>https://www.sec.gov/Archives/edgar/data/14272/000001427226000004/bmy-20251231.htm | https://www.bms.com/assets/bms/us/en-us/pdf/investor-info/doc_financials/quarterly_reports/2026/ghBMY-Q2-2026-Earnings-Press-Release.pdf</t>
        </is>
      </c>
      <c r="O123" s="89" t="n">
        <v>803</v>
      </c>
    </row>
    <row r="124">
      <c r="A124" s="83" t="inlineStr">
        <is>
          <t>POMALYST</t>
        </is>
      </c>
      <c r="B124" s="83" t="inlineStr">
        <is>
          <t>Bristol Myers Squibb</t>
        </is>
      </c>
      <c r="C124" s="83" t="inlineStr">
        <is>
          <t>Pomalyst / Imnovid</t>
        </is>
      </c>
      <c r="D124" s="83" t="inlineStr">
        <is>
          <t>pomalidomide</t>
        </is>
      </c>
      <c r="E124" s="83" t="inlineStr">
        <is>
          <t>Multiple-myeloma franchise benchmark</t>
        </is>
      </c>
      <c r="F124" s="83" t="inlineStr">
        <is>
          <t>2028</t>
        </is>
      </c>
      <c r="G124" s="83" t="n">
        <v>2028</v>
      </c>
      <c r="H124" s="83" t="inlineStr">
        <is>
          <t>projected</t>
        </is>
      </c>
      <c r="I124" s="90" t="n"/>
      <c r="J124" s="91" t="n">
        <v>-0.3698630136986302</v>
      </c>
      <c r="K124" s="92">
        <f>K123*(1+J124)</f>
        <v/>
      </c>
      <c r="L124" s="83" t="inlineStr"/>
      <c r="M124" s="83" t="inlineStr">
        <is>
          <t>2026E annualizes H1 2026. The decline reflects expected US generic entry in Q1 2026 and existing European generic competition.</t>
        </is>
      </c>
      <c r="N124" s="83" t="inlineStr">
        <is>
          <t>https://www.sec.gov/Archives/edgar/data/14272/000001427226000004/bmy-20251231.htm | https://www.bms.com/assets/bms/us/en-us/pdf/investor-info/doc_financials/quarterly_reports/2026/ghBMY-Q2-2026-Earnings-Press-Release.pdf</t>
        </is>
      </c>
      <c r="O124" s="90" t="n">
        <v>506</v>
      </c>
    </row>
    <row r="125">
      <c r="A125" s="84" t="inlineStr">
        <is>
          <t>POMALYST</t>
        </is>
      </c>
      <c r="B125" s="84" t="inlineStr">
        <is>
          <t>Bristol Myers Squibb</t>
        </is>
      </c>
      <c r="C125" s="84" t="inlineStr">
        <is>
          <t>Pomalyst / Imnovid</t>
        </is>
      </c>
      <c r="D125" s="84" t="inlineStr">
        <is>
          <t>pomalidomide</t>
        </is>
      </c>
      <c r="E125" s="84" t="inlineStr">
        <is>
          <t>Multiple-myeloma franchise benchmark</t>
        </is>
      </c>
      <c r="F125" s="84" t="inlineStr">
        <is>
          <t>2029</t>
        </is>
      </c>
      <c r="G125" s="84" t="n">
        <v>2029</v>
      </c>
      <c r="H125" s="84" t="inlineStr">
        <is>
          <t>projected</t>
        </is>
      </c>
      <c r="I125" s="89" t="n"/>
      <c r="J125" s="93" t="n">
        <v>-0.2490118577075099</v>
      </c>
      <c r="K125" s="88">
        <f>K124*(1+J125)</f>
        <v/>
      </c>
      <c r="L125" s="84" t="inlineStr"/>
      <c r="M125" s="84" t="inlineStr">
        <is>
          <t>2026E annualizes H1 2026. The decline reflects expected US generic entry in Q1 2026 and existing European generic competition.</t>
        </is>
      </c>
      <c r="N125" s="84" t="inlineStr">
        <is>
          <t>https://www.sec.gov/Archives/edgar/data/14272/000001427226000004/bmy-20251231.htm | https://www.bms.com/assets/bms/us/en-us/pdf/investor-info/doc_financials/quarterly_reports/2026/ghBMY-Q2-2026-Earnings-Press-Release.pdf</t>
        </is>
      </c>
      <c r="O125" s="89" t="n">
        <v>380</v>
      </c>
    </row>
    <row r="126">
      <c r="A126" s="83" t="inlineStr">
        <is>
          <t>POMALYST</t>
        </is>
      </c>
      <c r="B126" s="83" t="inlineStr">
        <is>
          <t>Bristol Myers Squibb</t>
        </is>
      </c>
      <c r="C126" s="83" t="inlineStr">
        <is>
          <t>Pomalyst / Imnovid</t>
        </is>
      </c>
      <c r="D126" s="83" t="inlineStr">
        <is>
          <t>pomalidomide</t>
        </is>
      </c>
      <c r="E126" s="83" t="inlineStr">
        <is>
          <t>Multiple-myeloma franchise benchmark</t>
        </is>
      </c>
      <c r="F126" s="83" t="inlineStr">
        <is>
          <t>2030</t>
        </is>
      </c>
      <c r="G126" s="83" t="n">
        <v>2030</v>
      </c>
      <c r="H126" s="83" t="inlineStr">
        <is>
          <t>projected</t>
        </is>
      </c>
      <c r="I126" s="90" t="n"/>
      <c r="J126" s="91" t="n">
        <v>-0.2</v>
      </c>
      <c r="K126" s="92">
        <f>K125*(1+J126)</f>
        <v/>
      </c>
      <c r="L126" s="83" t="inlineStr"/>
      <c r="M126" s="83" t="inlineStr">
        <is>
          <t>2026E annualizes H1 2026. The decline reflects expected US generic entry in Q1 2026 and existing European generic competition.</t>
        </is>
      </c>
      <c r="N126" s="83" t="inlineStr">
        <is>
          <t>https://www.sec.gov/Archives/edgar/data/14272/000001427226000004/bmy-20251231.htm | https://www.bms.com/assets/bms/us/en-us/pdf/investor-info/doc_financials/quarterly_reports/2026/ghBMY-Q2-2026-Earnings-Press-Release.pdf</t>
        </is>
      </c>
      <c r="O126" s="90" t="n">
        <v>304</v>
      </c>
    </row>
    <row r="127">
      <c r="A127" s="84" t="inlineStr">
        <is>
          <t>POMALYST</t>
        </is>
      </c>
      <c r="B127" s="84" t="inlineStr">
        <is>
          <t>Bristol Myers Squibb</t>
        </is>
      </c>
      <c r="C127" s="84" t="inlineStr">
        <is>
          <t>Pomalyst / Imnovid</t>
        </is>
      </c>
      <c r="D127" s="84" t="inlineStr">
        <is>
          <t>pomalidomide</t>
        </is>
      </c>
      <c r="E127" s="84" t="inlineStr">
        <is>
          <t>Multiple-myeloma franchise benchmark</t>
        </is>
      </c>
      <c r="F127" s="84" t="inlineStr">
        <is>
          <t>2031</t>
        </is>
      </c>
      <c r="G127" s="84" t="n">
        <v>2031</v>
      </c>
      <c r="H127" s="84" t="inlineStr">
        <is>
          <t>projected</t>
        </is>
      </c>
      <c r="I127" s="89" t="n"/>
      <c r="J127" s="93" t="n">
        <v>-0.1513157894736842</v>
      </c>
      <c r="K127" s="88">
        <f>K126*(1+J127)</f>
        <v/>
      </c>
      <c r="L127" s="84" t="inlineStr"/>
      <c r="M127" s="84" t="inlineStr">
        <is>
          <t>2026E annualizes H1 2026. The decline reflects expected US generic entry in Q1 2026 and existing European generic competition.</t>
        </is>
      </c>
      <c r="N127" s="84" t="inlineStr">
        <is>
          <t>https://www.sec.gov/Archives/edgar/data/14272/000001427226000004/bmy-20251231.htm | https://www.bms.com/assets/bms/us/en-us/pdf/investor-info/doc_financials/quarterly_reports/2026/ghBMY-Q2-2026-Earnings-Press-Release.pdf</t>
        </is>
      </c>
      <c r="O127" s="89" t="n">
        <v>258</v>
      </c>
    </row>
  </sheetData>
  <autoFilter ref="A4:O127"/>
  <mergeCells count="2">
    <mergeCell ref="A1:O1"/>
    <mergeCell ref="A2:O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2026-08-05T21:25:56Z</dcterms:created>
  <dcterms:modified xmlns:dcterms="http://purl.org/dc/terms/" xmlns:xsi="http://www.w3.org/2001/XMLSchema-instance" xsi:type="dcterms:W3CDTF">2026-08-05T21:25:56Z</dcterms:modified>
</cp:coreProperties>
</file>