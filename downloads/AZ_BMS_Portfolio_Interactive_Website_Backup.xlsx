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tables/table1.xml" ContentType="application/vnd.openxmlformats-officedocument.spreadsheetml.table+xml"/>
  <Override PartName="/xl/worksheets/sheet13.xml" ContentType="application/vnd.openxmlformats-officedocument.spreadsheetml.worksheet+xml"/>
  <Override PartName="/xl/tables/table2.xml" ContentType="application/vnd.openxmlformats-officedocument.spreadsheetml.table+xml"/>
  <Override PartName="/xl/worksheets/sheet14.xml" ContentType="application/vnd.openxmlformats-officedocument.spreadsheetml.worksheet+xml"/>
  <Override PartName="/xl/tables/table3.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site_README" sheetId="1" state="visible" r:id="rId1"/>
    <sheet xmlns:r="http://schemas.openxmlformats.org/officeDocument/2006/relationships" name="README" sheetId="2" state="visible" r:id="rId2"/>
    <sheet xmlns:r="http://schemas.openxmlformats.org/officeDocument/2006/relationships" name="Asset_Data" sheetId="3" state="visible" r:id="rId3"/>
    <sheet xmlns:r="http://schemas.openxmlformats.org/officeDocument/2006/relationships" name="Overlap_Units" sheetId="4" state="visible" r:id="rId4"/>
    <sheet xmlns:r="http://schemas.openxmlformats.org/officeDocument/2006/relationships" name="Overlap_Matrix" sheetId="5" state="visible" r:id="rId5"/>
    <sheet xmlns:r="http://schemas.openxmlformats.org/officeDocument/2006/relationships" name="Plot_Data" sheetId="6" state="visible" r:id="rId6"/>
    <sheet xmlns:r="http://schemas.openxmlformats.org/officeDocument/2006/relationships" name="Visual_Settings" sheetId="7" state="visible" r:id="rId7"/>
    <sheet xmlns:r="http://schemas.openxmlformats.org/officeDocument/2006/relationships" name="Summary" sheetId="8" state="visible" r:id="rId8"/>
    <sheet xmlns:r="http://schemas.openxmlformats.org/officeDocument/2006/relationships" name="LinkedIn_Draft" sheetId="9" state="visible" r:id="rId9"/>
    <sheet xmlns:r="http://schemas.openxmlformats.org/officeDocument/2006/relationships" name="Sources" sheetId="10" state="visible" r:id="rId10"/>
    <sheet xmlns:r="http://schemas.openxmlformats.org/officeDocument/2006/relationships" name="Infographic" sheetId="11" state="visible" r:id="rId11"/>
    <sheet xmlns:r="http://schemas.openxmlformats.org/officeDocument/2006/relationships" name="Program_Details" sheetId="12" state="visible" r:id="rId12"/>
    <sheet xmlns:r="http://schemas.openxmlformats.org/officeDocument/2006/relationships" name="Commercial_Benchmarks" sheetId="13" state="visible" r:id="rId13"/>
    <sheet xmlns:r="http://schemas.openxmlformats.org/officeDocument/2006/relationships" name="Website_Export" sheetId="14" state="visible" r:id="rId14"/>
  </sheets>
  <definedNames>
    <definedName name="_xlnm._FilterDatabase" localSheetId="2" hidden="1">'Asset_Data'!$A$1:$J$63</definedName>
    <definedName name="_xlnm._FilterDatabase" localSheetId="11" hidden="1">'Program_Details'!$A$1:$V$20</definedName>
    <definedName name="_xlnm._FilterDatabase" localSheetId="12" hidden="1">'Commercial_Benchmarks'!$A$1:$O$7</definedName>
    <definedName name="_xlnm._FilterDatabase" localSheetId="13" hidden="1">'Website_Export'!$A$1:$J$33</definedName>
  </definedNames>
  <calcPr calcId="124519" calcMode="auto" fullCalcOnLoad="1" forceFullCalc="1"/>
</workbook>
</file>

<file path=xl/styles.xml><?xml version="1.0" encoding="utf-8"?>
<styleSheet xmlns="http://schemas.openxmlformats.org/spreadsheetml/2006/main">
  <numFmts count="2">
    <numFmt numFmtId="164" formatCode="yyyy-mm-dd"/>
    <numFmt numFmtId="165" formatCode="$#,##0;[Red]($#,##0);-"/>
  </numFmts>
  <fonts count="35">
    <font>
      <name val="Calibri"/>
      <family val="2"/>
      <color theme="1"/>
      <sz val="11"/>
      <scheme val="minor"/>
    </font>
    <font>
      <name val="Aptos Display"/>
      <b val="1"/>
      <color rgb="00183F35"/>
      <sz val="22"/>
    </font>
    <font>
      <b val="1"/>
      <color rgb="00FFFFFF"/>
    </font>
    <font>
      <b val="1"/>
      <color rgb="007030A0"/>
    </font>
    <font>
      <color rgb="00008000"/>
    </font>
    <font>
      <color rgb="006E756E"/>
    </font>
    <font>
      <b val="1"/>
      <color rgb="00183F35"/>
      <sz val="20"/>
    </font>
    <font>
      <color rgb="00000000"/>
    </font>
    <font>
      <b val="1"/>
      <color rgb="00000000"/>
    </font>
    <font>
      <b val="1"/>
      <color rgb="00183F35"/>
    </font>
    <font>
      <color rgb="00222222"/>
      <sz val="12"/>
    </font>
    <font>
      <name val="Aptos Display"/>
      <b val="1"/>
      <color rgb="0019212C"/>
      <sz val="19"/>
    </font>
    <font>
      <name val="Aptos"/>
      <color rgb="003B4657"/>
      <sz val="10"/>
    </font>
    <font>
      <name val="Aptos"/>
      <b val="1"/>
      <color rgb="00FFFFFF"/>
      <sz val="9.5"/>
    </font>
    <font>
      <name val="Aptos"/>
      <color rgb="00008000"/>
      <sz val="9"/>
    </font>
    <font>
      <name val="Aptos"/>
      <color rgb="000000FF"/>
      <sz val="9"/>
    </font>
    <font>
      <name val="Aptos"/>
      <b val="1"/>
      <color rgb="00FFFFFF"/>
      <sz val="10"/>
    </font>
    <font>
      <name val="Aptos"/>
      <b val="1"/>
      <color rgb="009D005A"/>
      <sz val="10"/>
    </font>
    <font>
      <name val="Aptos Display"/>
      <b val="1"/>
      <color rgb="0019212C"/>
      <sz val="20"/>
    </font>
    <font>
      <name val="Aptos"/>
      <color rgb="00171A21"/>
      <sz val="9"/>
    </font>
    <font>
      <name val="Aptos"/>
      <b val="1"/>
      <color rgb="0019212C"/>
      <sz val="10"/>
    </font>
    <font>
      <name val="Aptos"/>
      <i val="1"/>
      <color rgb="003B4657"/>
      <sz val="9"/>
    </font>
    <font>
      <name val="Aptos Display"/>
      <b val="1"/>
      <color rgb="0019212C"/>
      <sz val="16"/>
    </font>
    <font>
      <name val="Aptos"/>
      <b val="1"/>
      <color rgb="0019212C"/>
      <sz val="11"/>
    </font>
    <font>
      <name val="Arial"/>
      <b val="1"/>
      <color rgb="00FFFFFF"/>
      <sz val="11"/>
    </font>
    <font>
      <name val="Arial"/>
      <color rgb="00404040"/>
      <sz val="10"/>
    </font>
    <font>
      <name val="Arial"/>
      <b val="1"/>
      <color rgb="00FFFFFF"/>
      <sz val="16"/>
    </font>
    <font>
      <name val="Arial"/>
      <b val="1"/>
      <color rgb="00FFFFFF"/>
      <sz val="10"/>
    </font>
    <font>
      <b val="1"/>
      <color rgb="00182230"/>
    </font>
    <font>
      <name val="Arial"/>
      <b val="1"/>
      <color rgb="00404040"/>
      <sz val="10"/>
    </font>
    <font>
      <name val="Aptos Display"/>
      <b val="1"/>
      <color rgb="00FFFFFF"/>
      <sz val="20"/>
    </font>
    <font>
      <b val="1"/>
      <color rgb="00172231"/>
    </font>
    <font>
      <b val="1"/>
      <color rgb="008A1F68"/>
    </font>
    <font>
      <color rgb="000000FF"/>
    </font>
    <font>
      <b val="1"/>
      <color rgb="00283B75"/>
    </font>
  </fonts>
  <fills count="30">
    <fill>
      <patternFill/>
    </fill>
    <fill>
      <patternFill patternType="gray125"/>
    </fill>
    <fill>
      <patternFill patternType="solid">
        <fgColor rgb="00183F35"/>
      </patternFill>
    </fill>
    <fill>
      <patternFill patternType="solid">
        <fgColor rgb="00C65911"/>
      </patternFill>
    </fill>
    <fill>
      <patternFill patternType="solid">
        <fgColor rgb="00FCE4D6"/>
      </patternFill>
    </fill>
    <fill>
      <patternFill patternType="solid">
        <fgColor rgb="00F4DDE9"/>
      </patternFill>
    </fill>
    <fill>
      <patternFill patternType="solid">
        <fgColor rgb="00F2DDF2"/>
      </patternFill>
    </fill>
    <fill>
      <patternFill patternType="solid">
        <fgColor rgb="00F7F3E7"/>
      </patternFill>
    </fill>
    <fill>
      <patternFill patternType="solid">
        <fgColor rgb="00F5F2EE"/>
      </patternFill>
    </fill>
    <fill>
      <patternFill patternType="solid">
        <fgColor rgb="0019212C"/>
      </patternFill>
    </fill>
    <fill>
      <patternFill patternType="solid">
        <fgColor rgb="00D60073"/>
      </patternFill>
    </fill>
    <fill>
      <patternFill patternType="solid">
        <fgColor rgb="00F05F9D"/>
      </patternFill>
    </fill>
    <fill>
      <patternFill patternType="solid">
        <fgColor rgb="00F5C6DC"/>
      </patternFill>
    </fill>
    <fill>
      <patternFill patternType="solid">
        <fgColor rgb="00F9F7F4"/>
      </patternFill>
    </fill>
    <fill>
      <patternFill patternType="solid">
        <fgColor rgb="007A1F63"/>
      </patternFill>
    </fill>
    <fill>
      <patternFill patternType="solid">
        <fgColor rgb="0017212D"/>
      </patternFill>
    </fill>
    <fill>
      <patternFill patternType="solid">
        <fgColor rgb="00344054"/>
      </patternFill>
    </fill>
    <fill>
      <patternFill patternType="solid">
        <fgColor rgb="00D7A900"/>
      </patternFill>
    </fill>
    <fill>
      <patternFill patternType="solid">
        <fgColor rgb="00263B73"/>
      </patternFill>
    </fill>
    <fill>
      <patternFill patternType="solid">
        <fgColor rgb="0076519A"/>
      </patternFill>
    </fill>
    <fill>
      <patternFill patternType="solid">
        <fgColor rgb="00F7D3D0"/>
      </patternFill>
    </fill>
    <fill>
      <patternFill patternType="solid">
        <fgColor rgb="00ED756D"/>
      </patternFill>
    </fill>
    <fill>
      <patternFill patternType="solid">
        <fgColor rgb="00C51F36"/>
      </patternFill>
    </fill>
    <fill>
      <patternFill patternType="solid">
        <fgColor rgb="008E1829"/>
      </patternFill>
    </fill>
    <fill>
      <patternFill patternType="solid">
        <fgColor rgb="00F4F1EC"/>
      </patternFill>
    </fill>
    <fill>
      <patternFill patternType="solid">
        <fgColor rgb="00FFFFFF"/>
      </patternFill>
    </fill>
    <fill>
      <patternFill patternType="solid">
        <fgColor rgb="00182230"/>
      </patternFill>
    </fill>
    <fill>
      <patternFill patternType="solid">
        <fgColor rgb="00172231"/>
      </patternFill>
    </fill>
    <fill>
      <patternFill patternType="solid">
        <fgColor rgb="00F8F6F2"/>
      </patternFill>
    </fill>
    <fill>
      <patternFill patternType="solid">
        <fgColor rgb="00FFF1F2"/>
      </patternFill>
    </fill>
  </fills>
  <borders count="3">
    <border>
      <left/>
      <right/>
      <top/>
      <bottom/>
      <diagonal/>
    </border>
    <border>
      <top style="thin">
        <color rgb="00183F35"/>
      </top>
    </border>
    <border>
      <bottom style="thin">
        <color rgb="00DDD8D2"/>
      </bottom>
    </border>
  </borders>
  <cellStyleXfs count="1">
    <xf numFmtId="0" fontId="0" fillId="0" borderId="0"/>
  </cellStyleXfs>
  <cellXfs count="69">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3" fillId="0" borderId="0" pivotButton="0" quotePrefix="0" xfId="0"/>
    <xf numFmtId="0" fontId="2" fillId="3" borderId="0" pivotButton="0" quotePrefix="0" xfId="0"/>
    <xf numFmtId="0" fontId="0" fillId="4" borderId="0" applyAlignment="1" pivotButton="0" quotePrefix="0" xfId="0">
      <alignment vertical="top" wrapText="1"/>
    </xf>
    <xf numFmtId="0" fontId="2" fillId="2" borderId="0" applyAlignment="1" pivotButton="0" quotePrefix="0" xfId="0">
      <alignment vertical="center" wrapText="1"/>
    </xf>
    <xf numFmtId="0" fontId="4" fillId="5"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4" fillId="6" borderId="0" applyAlignment="1" pivotButton="0" quotePrefix="0" xfId="0">
      <alignment vertical="top" wrapText="1"/>
    </xf>
    <xf numFmtId="0" fontId="6" fillId="0" borderId="0" pivotButton="0" quotePrefix="0" xfId="0"/>
    <xf numFmtId="0" fontId="2" fillId="2" borderId="0" applyAlignment="1" pivotButton="0" quotePrefix="0" xfId="0">
      <alignment wrapText="1"/>
    </xf>
    <xf numFmtId="0" fontId="0" fillId="7" borderId="0" pivotButton="0" quotePrefix="0" xfId="0"/>
    <xf numFmtId="0" fontId="7" fillId="7" borderId="0" pivotButton="0" quotePrefix="0" xfId="0"/>
    <xf numFmtId="0" fontId="8" fillId="7" borderId="0" pivotButton="0" quotePrefix="0" xfId="0"/>
    <xf numFmtId="9" fontId="7" fillId="7" borderId="0" pivotButton="0" quotePrefix="0" xfId="0"/>
    <xf numFmtId="0" fontId="7" fillId="0" borderId="0" pivotButton="0" quotePrefix="0" xfId="0"/>
    <xf numFmtId="0" fontId="8" fillId="0" borderId="0" pivotButton="0" quotePrefix="0" xfId="0"/>
    <xf numFmtId="9" fontId="7" fillId="0" borderId="0" pivotButton="0" quotePrefix="0" xfId="0"/>
    <xf numFmtId="0" fontId="9" fillId="0" borderId="1" pivotButton="0" quotePrefix="0" xfId="0"/>
    <xf numFmtId="0" fontId="10" fillId="0" borderId="0" applyAlignment="1" pivotButton="0" quotePrefix="0" xfId="0">
      <alignment vertical="top" wrapText="1"/>
    </xf>
    <xf numFmtId="0" fontId="0" fillId="0" borderId="0" applyAlignment="1" pivotButton="0" quotePrefix="0" xfId="0">
      <alignment wrapText="1"/>
    </xf>
    <xf numFmtId="0" fontId="23" fillId="0" borderId="0" pivotButton="0" quotePrefix="0" xfId="0"/>
    <xf numFmtId="0" fontId="11" fillId="8" borderId="0" pivotButton="0" quotePrefix="0" xfId="0"/>
    <xf numFmtId="0" fontId="12" fillId="0" borderId="0" applyAlignment="1" pivotButton="0" quotePrefix="0" xfId="0">
      <alignment vertical="top" wrapText="1"/>
    </xf>
    <xf numFmtId="0" fontId="13" fillId="9" borderId="2" applyAlignment="1" pivotButton="0" quotePrefix="0" xfId="0">
      <alignment vertical="center" wrapText="1"/>
    </xf>
    <xf numFmtId="0" fontId="14" fillId="0" borderId="2" applyAlignment="1" pivotButton="0" quotePrefix="0" xfId="0">
      <alignment vertical="top" wrapText="1"/>
    </xf>
    <xf numFmtId="0" fontId="16" fillId="10" borderId="2" applyAlignment="1" pivotButton="0" quotePrefix="0" xfId="0">
      <alignment horizontal="center" vertical="center"/>
    </xf>
    <xf numFmtId="0" fontId="16" fillId="11" borderId="2" applyAlignment="1" pivotButton="0" quotePrefix="0" xfId="0">
      <alignment horizontal="center" vertical="center"/>
    </xf>
    <xf numFmtId="0" fontId="17" fillId="12" borderId="2" applyAlignment="1" pivotButton="0" quotePrefix="0" xfId="0">
      <alignment horizontal="center" vertical="center"/>
    </xf>
    <xf numFmtId="0" fontId="18" fillId="8" borderId="0" pivotButton="0" quotePrefix="0" xfId="0"/>
    <xf numFmtId="0" fontId="19" fillId="0" borderId="2" applyAlignment="1" pivotButton="0" quotePrefix="0" xfId="0">
      <alignment vertical="center" wrapText="1"/>
    </xf>
    <xf numFmtId="0" fontId="19" fillId="0" borderId="2" applyAlignment="1" pivotButton="0" quotePrefix="0" xfId="0">
      <alignment horizontal="center" vertical="center"/>
    </xf>
    <xf numFmtId="0" fontId="20" fillId="13" borderId="2" applyAlignment="1" pivotButton="0" quotePrefix="0" xfId="0">
      <alignment horizontal="center" vertical="center"/>
    </xf>
    <xf numFmtId="0" fontId="21" fillId="0" borderId="0" applyAlignment="1" pivotButton="0" quotePrefix="0" xfId="0">
      <alignment wrapText="1"/>
    </xf>
    <xf numFmtId="0" fontId="13" fillId="9" borderId="0" pivotButton="0" quotePrefix="0" xfId="0"/>
    <xf numFmtId="0" fontId="22" fillId="0" borderId="0" pivotButton="0" quotePrefix="0" xfId="0"/>
    <xf numFmtId="0" fontId="24" fillId="14" borderId="0" pivotButton="0" quotePrefix="0" xfId="0"/>
    <xf numFmtId="0" fontId="25" fillId="0" borderId="0" applyAlignment="1" pivotButton="0" quotePrefix="0" xfId="0">
      <alignment vertical="top" wrapText="1"/>
    </xf>
    <xf numFmtId="0" fontId="26" fillId="15" borderId="0" pivotButton="0" quotePrefix="0" xfId="0"/>
    <xf numFmtId="0" fontId="27" fillId="16" borderId="0" applyAlignment="1" pivotButton="0" quotePrefix="0" xfId="0">
      <alignment vertical="center"/>
    </xf>
    <xf numFmtId="0" fontId="25" fillId="0" borderId="0" applyAlignment="1" pivotButton="0" quotePrefix="0" xfId="0">
      <alignment vertical="center" wrapText="1"/>
    </xf>
    <xf numFmtId="0" fontId="2" fillId="14" borderId="0" applyAlignment="1" pivotButton="0" quotePrefix="0" xfId="0">
      <alignment vertical="center" wrapText="1"/>
    </xf>
    <xf numFmtId="0" fontId="2" fillId="17" borderId="0" applyAlignment="1" pivotButton="0" quotePrefix="0" xfId="0">
      <alignment vertical="center" wrapText="1"/>
    </xf>
    <xf numFmtId="0" fontId="2" fillId="18" borderId="0" applyAlignment="1" pivotButton="0" quotePrefix="0" xfId="0">
      <alignment vertical="center" wrapText="1"/>
    </xf>
    <xf numFmtId="0" fontId="2" fillId="19" borderId="0" applyAlignment="1" pivotButton="0" quotePrefix="0" xfId="0">
      <alignment vertical="center" wrapText="1"/>
    </xf>
    <xf numFmtId="0" fontId="28" fillId="20" borderId="0" applyAlignment="1" pivotButton="0" quotePrefix="0" xfId="0">
      <alignment vertical="center" wrapText="1"/>
    </xf>
    <xf numFmtId="0" fontId="2" fillId="21" borderId="0" applyAlignment="1" pivotButton="0" quotePrefix="0" xfId="0">
      <alignment vertical="center" wrapText="1"/>
    </xf>
    <xf numFmtId="0" fontId="2" fillId="22" borderId="0" applyAlignment="1" pivotButton="0" quotePrefix="0" xfId="0">
      <alignment vertical="center" wrapText="1"/>
    </xf>
    <xf numFmtId="0" fontId="2" fillId="23" borderId="0" applyAlignment="1" pivotButton="0" quotePrefix="0" xfId="0">
      <alignment vertical="center" wrapText="1"/>
    </xf>
    <xf numFmtId="0" fontId="28" fillId="24" borderId="0" applyAlignment="1" pivotButton="0" quotePrefix="0" xfId="0">
      <alignment vertical="center" wrapText="1"/>
    </xf>
    <xf numFmtId="0" fontId="28" fillId="25" borderId="0" applyAlignment="1" pivotButton="0" quotePrefix="0" xfId="0">
      <alignment vertical="center" wrapText="1"/>
    </xf>
    <xf numFmtId="0" fontId="2" fillId="26" borderId="0" applyAlignment="1" pivotButton="0" quotePrefix="0" xfId="0">
      <alignment vertical="center" wrapText="1"/>
    </xf>
    <xf numFmtId="0" fontId="29" fillId="0" borderId="0" pivotButton="0" quotePrefix="0" xfId="0"/>
    <xf numFmtId="0" fontId="25" fillId="0" borderId="0" pivotButton="0" quotePrefix="0" xfId="0"/>
    <xf numFmtId="0" fontId="30" fillId="27" borderId="0" applyAlignment="1" pivotButton="0" quotePrefix="0" xfId="0">
      <alignment vertical="center"/>
    </xf>
    <xf numFmtId="0" fontId="31" fillId="28" borderId="0" pivotButton="0" quotePrefix="0" xfId="0"/>
    <xf numFmtId="0" fontId="0" fillId="28" borderId="0" applyAlignment="1" pivotButton="0" quotePrefix="0" xfId="0">
      <alignment vertical="top" wrapText="1"/>
    </xf>
    <xf numFmtId="0" fontId="0" fillId="28" borderId="0" pivotButton="0" quotePrefix="0" xfId="0"/>
    <xf numFmtId="0" fontId="31" fillId="0" borderId="0" pivotButton="0" quotePrefix="0" xfId="0"/>
    <xf numFmtId="0" fontId="2" fillId="27" borderId="0" applyAlignment="1" pivotButton="0" quotePrefix="0" xfId="0">
      <alignment vertical="center" wrapText="1"/>
    </xf>
    <xf numFmtId="0" fontId="32" fillId="0" borderId="0" applyAlignment="1" pivotButton="0" quotePrefix="0" xfId="0">
      <alignment vertical="top" wrapText="1"/>
    </xf>
    <xf numFmtId="164" fontId="4" fillId="0" borderId="0" applyAlignment="1" pivotButton="0" quotePrefix="0" xfId="0">
      <alignment vertical="top" wrapText="1"/>
    </xf>
    <xf numFmtId="0" fontId="33" fillId="0" borderId="0" applyAlignment="1" pivotButton="0" quotePrefix="0" xfId="0">
      <alignment vertical="top" wrapText="1"/>
    </xf>
    <xf numFmtId="0" fontId="0" fillId="29" borderId="0" applyAlignment="1" pivotButton="0" quotePrefix="0" xfId="0">
      <alignment vertical="top" wrapText="1"/>
    </xf>
    <xf numFmtId="0" fontId="34"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dxfs count="4">
    <dxf>
      <fill>
        <patternFill patternType="solid">
          <fgColor rgb="00F5F2EE"/>
        </patternFill>
      </fill>
    </dxf>
    <dxf>
      <fill>
        <patternFill patternType="solid">
          <fgColor rgb="00F5C6DC"/>
        </patternFill>
      </fill>
    </dxf>
    <dxf>
      <fill>
        <patternFill patternType="solid">
          <fgColor rgb="00F05F9D"/>
        </patternFill>
      </fill>
    </dxf>
    <dxf>
      <fill>
        <patternFill patternType="solid">
          <fgColor rgb="00D6007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Late-stage program footprint by normalized area</a:t>
            </a:r>
          </a:p>
        </rich>
      </tx>
    </title>
    <plotArea>
      <barChart>
        <barDir val="col"/>
        <grouping val="stacked"/>
        <ser>
          <idx val="0"/>
          <order val="0"/>
          <tx>
            <strRef>
              <f>'Summary'!B3</f>
            </strRef>
          </tx>
          <spPr>
            <a:solidFill xmlns:a="http://schemas.openxmlformats.org/drawingml/2006/main">
              <a:srgbClr val="7A1F63"/>
            </a:solidFill>
            <a:ln xmlns:a="http://schemas.openxmlformats.org/drawingml/2006/main">
              <a:solidFill>
                <a:srgbClr val="7A1F63"/>
              </a:solidFill>
              <a:prstDash val="solid"/>
            </a:ln>
          </spPr>
          <cat>
            <numRef>
              <f>'Summary'!$A$4:$A$11</f>
            </numRef>
          </cat>
          <val>
            <numRef>
              <f>'Summary'!$B$4:$B$11</f>
            </numRef>
          </val>
        </ser>
        <ser>
          <idx val="1"/>
          <order val="1"/>
          <tx>
            <strRef>
              <f>'Summary'!C3</f>
            </strRef>
          </tx>
          <spPr>
            <a:solidFill xmlns:a="http://schemas.openxmlformats.org/drawingml/2006/main">
              <a:srgbClr val="263B73"/>
            </a:solidFill>
            <a:ln xmlns:a="http://schemas.openxmlformats.org/drawingml/2006/main">
              <a:solidFill>
                <a:srgbClr val="263B73"/>
              </a:solidFill>
              <a:prstDash val="solid"/>
            </a:ln>
          </spPr>
          <cat>
            <numRef>
              <f>'Summary'!$A$4:$A$11</f>
            </numRef>
          </cat>
          <val>
            <numRef>
              <f>'Summary'!$C$4:$C$11</f>
            </numRef>
          </val>
        </ser>
        <dLbls>
          <showVal val="1"/>
        </dLbls>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Programs</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7</col>
      <colOff>0</colOff>
      <row>2</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3</row>
      <rowOff>0</rowOff>
    </from>
    <ext cx="8229600" cy="10287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ProgramDetailsTable" displayName="ProgramDetailsTable" ref="A1:V20" headerRowCount="1">
  <autoFilter ref="A1:V20"/>
  <tableColumns count="22">
    <tableColumn id="1" name="Disease area"/>
    <tableColumn id="2" name="Overlap indication"/>
    <tableColumn id="3" name="Company"/>
    <tableColumn id="4" name="Program"/>
    <tableColumn id="5" name="Pipeline stage"/>
    <tableColumn id="6" name="Representative modality / mechanism"/>
    <tableColumn id="7" name="ClinicalTrials.gov ID"/>
    <tableColumn id="8" name="Representative trial"/>
    <tableColumn id="9" name="Potential launch indication (analyst scenario)"/>
    <tableColumn id="10" name="Clinical setting / line of therapy"/>
    <tableColumn id="11" name="Primary completion date"/>
    <tableColumn id="12" name="Primary completion year"/>
    <tableColumn id="13" name="Launch lag - low (years)"/>
    <tableColumn id="14" name="Launch lag - high (years)"/>
    <tableColumn id="15" name="Illustrative launch start"/>
    <tableColumn id="16" name="Illustrative launch end"/>
    <tableColumn id="17" name="Illustrative launch window"/>
    <tableColumn id="18" name="Historical sales of asset"/>
    <tableColumn id="19" name="Commercial benchmark IDs"/>
    <tableColumn id="20" name="Trial URL"/>
    <tableColumn id="21" name="Pipeline source URL"/>
    <tableColumn id="22" name="Notes"/>
  </tableColumns>
  <tableStyleInfo name="TableStyleMedium2" showFirstColumn="0" showLastColumn="0" showRowStripes="1" showColumnStripes="0"/>
</table>
</file>

<file path=xl/tables/table2.xml><?xml version="1.0" encoding="utf-8"?>
<table xmlns="http://schemas.openxmlformats.org/spreadsheetml/2006/main" id="2" name="CommercialBenchmarksTable" displayName="CommercialBenchmarksTable" ref="A1:O7" headerRowCount="1">
  <autoFilter ref="A1:O7"/>
  <tableColumns count="15">
    <tableColumn id="1" name="Benchmark ID"/>
    <tableColumn id="2" name="Disease area"/>
    <tableColumn id="3" name="Overlap indication"/>
    <tableColumn id="4" name="Product"/>
    <tableColumn id="5" name="Company"/>
    <tableColumn id="6" name="Year"/>
    <tableColumn id="7" name="US revenue ($m)"/>
    <tableColumn id="8" name="Emerging Markets revenue ($m)"/>
    <tableColumn id="9" name="Europe revenue ($m)"/>
    <tableColumn id="10" name="Established ROW revenue ($m)"/>
    <tableColumn id="11" name="Worldwide revenue ($m)"/>
    <tableColumn id="12" name="Sales basis"/>
    <tableColumn id="13" name="Relevance"/>
    <tableColumn id="14" name="Limitations"/>
    <tableColumn id="15" name="Source URL"/>
  </tableColumns>
  <tableStyleInfo name="TableStyleMedium4" showRowStripes="1" showColumnStripes="0"/>
</table>
</file>

<file path=xl/tables/table3.xml><?xml version="1.0" encoding="utf-8"?>
<table xmlns="http://schemas.openxmlformats.org/spreadsheetml/2006/main" id="3" name="WebsiteExportTable" displayName="WebsiteExportTable" ref="A1:J33" headerRowCount="1">
  <autoFilter ref="A1:J33"/>
  <tableColumns count="10">
    <tableColumn id="1" name="Cell ID"/>
    <tableColumn id="2" name="Disease area"/>
    <tableColumn id="3" name="Plot label"/>
    <tableColumn id="4" name="Factor"/>
    <tableColumn id="5" name="Overlap count"/>
    <tableColumn id="6" name="Directness"/>
    <tableColumn id="7" name="AZ programs"/>
    <tableColumn id="8" name="BMS programs"/>
    <tableColumn id="9" name="Relationship"/>
    <tableColumn id="10" name="Overlap units"/>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hyperlink" Target="https://www.astrazeneca.com/content/dam/az/Investor_Relations/annual-report-2025/pdf/AstraZeneca_Development_Pipeline_2025.pdf" TargetMode="External" Id="rId1"/><Relationship Type="http://schemas.openxmlformats.org/officeDocument/2006/relationships/hyperlink" Target="https://annual-report.bms.com/assets/bms-ar/documents/2025/2025-bms-development-portfolio.pdf" TargetMode="External" Id="rId2"/><Relationship Type="http://schemas.openxmlformats.org/officeDocument/2006/relationships/hyperlink" Target="https://www.astrazeneca.com/our-therapy-areas/pipeline.html" TargetMode="External" Id="rId3"/><Relationship Type="http://schemas.openxmlformats.org/officeDocument/2006/relationships/hyperlink" Target="https://www.bms.com/research-and-development/pipeline.html" TargetMode="External" Id="rId4"/><Relationship Type="http://schemas.openxmlformats.org/officeDocument/2006/relationships/hyperlink" Target="https://www.reuters.com/business/healthcare-pharmaceuticals/no-discussions-over-astrazeneca-bristol-myers-deal-senior-source-says-2026-08-05/" TargetMode="External" Id="rId5"/></Relationships>
</file>

<file path=xl/worksheets/_rels/sheet11.xml.rels><Relationships xmlns="http://schemas.openxmlformats.org/package/2006/relationships"><Relationship Type="http://schemas.openxmlformats.org/officeDocument/2006/relationships/drawing" Target="/xl/drawings/drawing2.xml" Id="rId1"/></Relationships>
</file>

<file path=xl/worksheets/_rels/sheet12.xml.rels><Relationships xmlns="http://schemas.openxmlformats.org/package/2006/relationships"><Relationship Type="http://schemas.openxmlformats.org/officeDocument/2006/relationships/table" Target="/xl/tables/table1.xml" Id="rId1"/></Relationships>
</file>

<file path=xl/worksheets/_rels/sheet13.xml.rels><Relationships xmlns="http://schemas.openxmlformats.org/package/2006/relationships"><Relationship Type="http://schemas.openxmlformats.org/officeDocument/2006/relationships/table" Target="/xl/tables/table2.xml" Id="rId1"/></Relationships>
</file>

<file path=xl/worksheets/_rels/sheet1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H9"/>
  <sheetViews>
    <sheetView showGridLines="0" workbookViewId="0">
      <pane ySplit="6" topLeftCell="A7" activePane="bottomLeft" state="frozen"/>
      <selection pane="bottomLeft"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4" customHeight="1">
      <c r="A1" s="57" t="inlineStr">
        <is>
          <t>Interactive website package - data and methodology</t>
        </is>
      </c>
    </row>
    <row r="3" ht="42" customHeight="1">
      <c r="A3" s="58" t="inlineStr">
        <is>
          <t>Package purpose</t>
        </is>
      </c>
      <c r="B3" s="59" t="inlineStr">
        <is>
          <t>Back-up data for the GitHub Pages website. The interactive chart links each overlap bubble to the exact overlap units and relevant programs.</t>
        </is>
      </c>
      <c r="C3" s="60" t="n"/>
      <c r="D3" s="60" t="n"/>
      <c r="E3" s="60" t="n"/>
      <c r="F3" s="60" t="n"/>
      <c r="G3" s="60" t="n"/>
      <c r="H3" s="60" t="n"/>
    </row>
    <row r="4" ht="42" customHeight="1">
      <c r="A4" s="61" t="inlineStr">
        <is>
          <t>Matched portfolio snapshot</t>
        </is>
      </c>
      <c r="B4" s="3" t="inlineStr">
        <is>
          <t>AstraZeneca 10 Feb 2026 and BMS 5 Feb 2026 pipeline disclosures.</t>
        </is>
      </c>
    </row>
    <row r="5" ht="42" customHeight="1">
      <c r="A5" s="58" t="inlineStr">
        <is>
          <t>Late-stage program definition</t>
        </is>
      </c>
      <c r="B5" s="59" t="inlineStr">
        <is>
          <t>Unique lead investigational asset in Phase II or Phase III/pivotal/registration development; approved-indication expansions and major lifecycle-management programs excluded from the core count.</t>
        </is>
      </c>
      <c r="C5" s="60" t="n"/>
      <c r="D5" s="60" t="n"/>
      <c r="E5" s="60" t="n"/>
      <c r="F5" s="60" t="n"/>
      <c r="G5" s="60" t="n"/>
      <c r="H5" s="60" t="n"/>
    </row>
    <row r="6" ht="42" customHeight="1">
      <c r="A6" s="61" t="inlineStr">
        <is>
          <t>Overlap count definition</t>
        </is>
      </c>
      <c r="B6" s="3" t="inlineStr">
        <is>
          <t>Number of distinct shared indication territories, modality classes, target/mechanism themes, or development-stage bands - not all possible AZ-BMS asset-pair permutations.</t>
        </is>
      </c>
    </row>
    <row r="7" ht="42" customHeight="1">
      <c r="A7" s="58" t="inlineStr">
        <is>
          <t>Launch window</t>
        </is>
      </c>
      <c r="B7" s="59" t="inlineStr">
        <is>
          <t>Illustrative analyst scenario calculated from trial primary-completion year plus a stage-specific lag. It is not company guidance, a probability-adjusted forecast, or a regulatory prediction.</t>
        </is>
      </c>
      <c r="C7" s="60" t="n"/>
      <c r="D7" s="60" t="n"/>
      <c r="E7" s="60" t="n"/>
      <c r="F7" s="60" t="n"/>
      <c r="G7" s="60" t="n"/>
      <c r="H7" s="60" t="n"/>
    </row>
    <row r="8" ht="42" customHeight="1">
      <c r="A8" s="61" t="inlineStr">
        <is>
          <t>Historical sales</t>
        </is>
      </c>
      <c r="B8" s="3" t="inlineStr">
        <is>
          <t>Investigational assets have no historical sales. The Commercial_Benchmarks sheet provides company-reported brand revenue for scale context; figures are generally not indication-specific.</t>
        </is>
      </c>
    </row>
    <row r="9" ht="42" customHeight="1">
      <c r="A9" s="58" t="inlineStr">
        <is>
          <t>Website deployment</t>
        </is>
      </c>
      <c r="B9" s="59" t="inlineStr">
        <is>
          <t>Upload the package contents to a GitHub repository and enable GitHub Pages from the main branch / root folder. No build step is required.</t>
        </is>
      </c>
      <c r="C9" s="60" t="n"/>
      <c r="D9" s="60" t="n"/>
      <c r="E9" s="60" t="n"/>
      <c r="F9" s="60" t="n"/>
      <c r="G9" s="60" t="n"/>
      <c r="H9" s="60" t="n"/>
    </row>
  </sheetData>
  <mergeCells count="8">
    <mergeCell ref="B8:H8"/>
    <mergeCell ref="B9:H9"/>
    <mergeCell ref="B4:H4"/>
    <mergeCell ref="B6:H6"/>
    <mergeCell ref="B7:H7"/>
    <mergeCell ref="A1:H1"/>
    <mergeCell ref="B3:H3"/>
    <mergeCell ref="B5:H5"/>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F29"/>
  <sheetViews>
    <sheetView showGridLines="0" zoomScale="9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AstraZeneca + BMS: Portfolio Fit—or Collision?</t>
        </is>
      </c>
    </row>
    <row r="3">
      <c r="A3" s="2" t="inlineStr">
        <is>
          <t>Purpose</t>
        </is>
      </c>
    </row>
    <row r="4">
      <c r="A4" s="3" t="inlineStr">
        <is>
          <t>Backup workbook for a LinkedIn post examining where AstraZeneca and Bristol Myers Squibb have overlapping versus complementary late-stage R&amp;D portfolios.</t>
        </is>
      </c>
    </row>
    <row r="5"/>
    <row r="7">
      <c r="A7" s="2" t="inlineStr">
        <is>
          <t>Headline findings</t>
        </is>
      </c>
    </row>
    <row r="8" ht="34" customHeight="1">
      <c r="A8" s="3" t="inlineStr">
        <is>
          <t>1. The shared areas contain 41 of 62 mapped programs (66%), concentrated in solid-tumor oncology, hematology, immunology/respiratory/fibrosis and cardiovascular disease.</t>
        </is>
      </c>
    </row>
    <row r="9" ht="34" customHeight="1">
      <c r="A9" s="3" t="inlineStr">
        <is>
          <t>2. Oncology is the clearest collision zone: 18 solid-tumor programs plus 8 hematology programs across the two companies.</t>
        </is>
      </c>
    </row>
    <row r="10" ht="34" customHeight="1">
      <c r="A10" s="3" t="inlineStr">
        <is>
          <t>3. Complementarity is strongest outside oncology: AstraZeneca adds rare disease, renal/metabolic and infectious-disease breadth; BMS adds a distinct neuroscience foothold.</t>
        </is>
      </c>
    </row>
    <row r="11" ht="34" customHeight="1">
      <c r="A11" s="3" t="inlineStr">
        <is>
          <t>4. Counts show portfolio breadth—not program quality, probability of success, revenue potential, target-level duplication or antitrust risk.</t>
        </is>
      </c>
    </row>
    <row r="14">
      <c r="A14" s="2" t="inlineStr">
        <is>
          <t>Methodology</t>
        </is>
      </c>
    </row>
    <row r="15" ht="32" customHeight="1">
      <c r="A15" s="4" t="inlineStr">
        <is>
          <t>Snapshot dates</t>
        </is>
      </c>
      <c r="B15" s="3" t="inlineStr">
        <is>
          <t>AstraZeneca: 10 Feb 2026; BMS: 5 Feb 2026. Matching annual-report snapshots were used to improve comparability.</t>
        </is>
      </c>
    </row>
    <row r="16" ht="32" customHeight="1">
      <c r="A16" s="4" t="inlineStr">
        <is>
          <t>Included</t>
        </is>
      </c>
      <c r="B16" s="3" t="inlineStr">
        <is>
          <t>Lead investigational assets or disclosed lead programs in Phase II or Phase III/pivotal/registration.</t>
        </is>
      </c>
    </row>
    <row r="17" ht="32" customHeight="1">
      <c r="A17" s="4" t="inlineStr">
        <is>
          <t>Excluded</t>
        </is>
      </c>
      <c r="B17" s="3" t="inlineStr">
        <is>
          <t>Approved indications, additional indications for marketed products, and AstraZeneca significant life-cycle-management tables.</t>
        </is>
      </c>
    </row>
    <row r="18" ht="44" customHeight="1">
      <c r="A18" s="4" t="inlineStr">
        <is>
          <t>Deduplication</t>
        </is>
      </c>
      <c r="B18" s="3" t="inlineStr">
        <is>
          <t>The same lead asset is counted once at its highest disclosed phase; multiple indications and combinations are consolidated under the lead investigational asset.</t>
        </is>
      </c>
    </row>
    <row r="19" ht="44" customHeight="1">
      <c r="A19" s="4" t="inlineStr">
        <is>
          <t>Normalization</t>
        </is>
      </c>
      <c r="B19" s="3" t="inlineStr">
        <is>
          <t>Company therapy areas were harmonized into eight cross-company categories. AstraZeneca oncology assets were classified as solid-tumor oncology or hematology based on disclosed areas under investigation.</t>
        </is>
      </c>
    </row>
    <row r="20" ht="44" customHeight="1">
      <c r="A20" s="4" t="inlineStr">
        <is>
          <t>Interpretation</t>
        </is>
      </c>
      <c r="B20" s="3" t="inlineStr">
        <is>
          <t>A “shared” category means both companies have late-stage activity in the broad therapeutic area; it does not prove direct mechanism, indication or asset duplication.</t>
        </is>
      </c>
    </row>
    <row r="23">
      <c r="A23" s="5" t="inlineStr">
        <is>
          <t>Important current-event caveat</t>
        </is>
      </c>
    </row>
    <row r="24">
      <c r="A24" s="6" t="inlineStr">
        <is>
          <t>Reuters reported on Aug. 5, 2026 that a senior source said there were no ongoing discussions between the companies. The analysis is therefore framed as a portfolio thought experiment, not an announced transaction.</t>
        </is>
      </c>
    </row>
    <row r="25"/>
    <row r="27">
      <c r="A27" s="39" t="inlineStr">
        <is>
          <t>Stacked-footprint + count-based lollipop update</t>
        </is>
      </c>
    </row>
    <row r="28" ht="42" customHeight="1">
      <c r="A28" s="40" t="inlineStr">
        <is>
          <t>The chart restores the stacked late-stage program bars above each disease area. AstraZeneca and BMS use logo-inspired company colors; bubble size and number show distinct overlap count, while red tone shows analyst-coded directness. Portfolio balance remains excluded.</t>
        </is>
      </c>
    </row>
    <row r="29" ht="32" customHeight="1">
      <c r="A29" s="40" t="inlineStr">
        <is>
          <t>Reproduction: the Plot_Data tab feeds the R and Python scripts; the Visual_Settings tab records the exact palette and visual encodings.</t>
        </is>
      </c>
    </row>
  </sheetData>
  <mergeCells count="19">
    <mergeCell ref="B16:F16"/>
    <mergeCell ref="A27:F27"/>
    <mergeCell ref="A3:F3"/>
    <mergeCell ref="B18:F18"/>
    <mergeCell ref="A14:F14"/>
    <mergeCell ref="A23:F23"/>
    <mergeCell ref="A8:F8"/>
    <mergeCell ref="A24:F25"/>
    <mergeCell ref="B17:F17"/>
    <mergeCell ref="A29:F29"/>
    <mergeCell ref="A10:F10"/>
    <mergeCell ref="A28:F28"/>
    <mergeCell ref="A9:F9"/>
    <mergeCell ref="B19:F19"/>
    <mergeCell ref="A11:F11"/>
    <mergeCell ref="B20:F20"/>
    <mergeCell ref="B15:F15"/>
    <mergeCell ref="A4:F5"/>
    <mergeCell ref="A7:F7"/>
  </mergeCell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J63"/>
  <sheetViews>
    <sheetView showGridLines="0" zoomScale="90" workbookViewId="0">
      <pane ySplit="1" topLeftCell="A2" activePane="bottomLeft" state="frozen"/>
      <selection pane="bottomLeft" activeCell="A1" sqref="A1"/>
    </sheetView>
  </sheetViews>
  <sheetFormatPr baseColWidth="8" defaultRowHeight="15"/>
  <cols>
    <col width="22" customWidth="1" min="1" max="1"/>
    <col width="24" customWidth="1" min="2" max="2"/>
    <col width="28" customWidth="1" min="3" max="3"/>
    <col width="35" customWidth="1" min="4" max="4"/>
    <col width="24" customWidth="1" min="5" max="5"/>
    <col width="35" customWidth="1" min="6" max="6"/>
    <col width="48" customWidth="1" min="7" max="7"/>
    <col width="18" customWidth="1" min="8" max="8"/>
    <col width="65" customWidth="1" min="9" max="9"/>
    <col width="45" customWidth="1" min="10" max="10"/>
  </cols>
  <sheetData>
    <row r="1">
      <c r="A1" s="7" t="inlineStr">
        <is>
          <t>Company</t>
        </is>
      </c>
      <c r="B1" s="7" t="inlineStr">
        <is>
          <t>Source therapeutic area</t>
        </is>
      </c>
      <c r="C1" s="7" t="inlineStr">
        <is>
          <t>Normalized area</t>
        </is>
      </c>
      <c r="D1" s="7" t="inlineStr">
        <is>
          <t>Lead investigational asset / program</t>
        </is>
      </c>
      <c r="E1" s="7" t="inlineStr">
        <is>
          <t>Highest disclosed phase in snapshot</t>
        </is>
      </c>
      <c r="F1" s="7" t="inlineStr">
        <is>
          <t>Modality / mechanism</t>
        </is>
      </c>
      <c r="G1" s="7" t="inlineStr">
        <is>
          <t>Representative area(s) under investigation</t>
        </is>
      </c>
      <c r="H1" s="7" t="inlineStr">
        <is>
          <t>Source snapshot date</t>
        </is>
      </c>
      <c r="I1" s="7" t="inlineStr">
        <is>
          <t>Source URL</t>
        </is>
      </c>
      <c r="J1" s="7" t="inlineStr">
        <is>
          <t>Methodology notes</t>
        </is>
      </c>
    </row>
    <row r="2" ht="45" customHeight="1">
      <c r="A2" s="8" t="inlineStr">
        <is>
          <t>AstraZeneca</t>
        </is>
      </c>
      <c r="B2" s="9" t="inlineStr">
        <is>
          <t>Oncology</t>
        </is>
      </c>
      <c r="C2" s="9" t="inlineStr">
        <is>
          <t>Solid-tumor oncology</t>
        </is>
      </c>
      <c r="D2" s="9" t="inlineStr">
        <is>
          <t>AZD9574</t>
        </is>
      </c>
      <c r="E2" s="9" t="inlineStr">
        <is>
          <t>Phase II</t>
        </is>
      </c>
      <c r="F2" s="9" t="inlineStr">
        <is>
          <t>PARP1 inhibitor</t>
        </is>
      </c>
      <c r="G2" s="9" t="inlineStr">
        <is>
          <t>Advanced solid malignancies</t>
        </is>
      </c>
      <c r="H2" s="9" t="inlineStr">
        <is>
          <t>2026-02-10</t>
        </is>
      </c>
      <c r="I2" s="9" t="inlineStr">
        <is>
          <t>https://www.astrazeneca.com/content/dam/az/Investor_Relations/annual-report-2025/pdf/AstraZeneca_Development_Pipeline_2025.pdf</t>
        </is>
      </c>
      <c r="J2" s="10" t="inlineStr"/>
    </row>
    <row r="3" ht="45" customHeight="1">
      <c r="A3" s="8" t="inlineStr">
        <is>
          <t>AstraZeneca</t>
        </is>
      </c>
      <c r="B3" s="9" t="inlineStr">
        <is>
          <t>Oncology</t>
        </is>
      </c>
      <c r="C3" s="9" t="inlineStr">
        <is>
          <t>Solid-tumor oncology</t>
        </is>
      </c>
      <c r="D3" s="9" t="inlineStr">
        <is>
          <t>camizestrant</t>
        </is>
      </c>
      <c r="E3" s="9" t="inlineStr">
        <is>
          <t>Phase III / registration</t>
        </is>
      </c>
      <c r="F3" s="9" t="inlineStr">
        <is>
          <t>Next-generation oral SERD</t>
        </is>
      </c>
      <c r="G3" s="9" t="inlineStr">
        <is>
          <t>HR+/HER2- breast cancer, including advanced and adjuvant settings</t>
        </is>
      </c>
      <c r="H3" s="9" t="inlineStr">
        <is>
          <t>2026-02-10</t>
        </is>
      </c>
      <c r="I3" s="9" t="inlineStr">
        <is>
          <t>https://www.astrazeneca.com/content/dam/az/Investor_Relations/annual-report-2025/pdf/AstraZeneca_Development_Pipeline_2025.pdf</t>
        </is>
      </c>
      <c r="J3" s="10" t="inlineStr">
        <is>
          <t>Combination trials counted once under the lead investigational asset.</t>
        </is>
      </c>
    </row>
    <row r="4" ht="45" customHeight="1">
      <c r="A4" s="8" t="inlineStr">
        <is>
          <t>AstraZeneca</t>
        </is>
      </c>
      <c r="B4" s="9" t="inlineStr">
        <is>
          <t>Oncology</t>
        </is>
      </c>
      <c r="C4" s="9" t="inlineStr">
        <is>
          <t>Solid-tumor oncology</t>
        </is>
      </c>
      <c r="D4" s="9" t="inlineStr">
        <is>
          <t>FPI-2265</t>
        </is>
      </c>
      <c r="E4" s="9" t="inlineStr">
        <is>
          <t>Phase II</t>
        </is>
      </c>
      <c r="F4" s="9" t="inlineStr">
        <is>
          <t>PSMA-targeted actinium radioconjugate</t>
        </is>
      </c>
      <c r="G4" s="9" t="inlineStr">
        <is>
          <t>Prostate cancer</t>
        </is>
      </c>
      <c r="H4" s="9" t="inlineStr">
        <is>
          <t>2026-02-10</t>
        </is>
      </c>
      <c r="I4" s="9" t="inlineStr">
        <is>
          <t>https://www.astrazeneca.com/content/dam/az/Investor_Relations/annual-report-2025/pdf/AstraZeneca_Development_Pipeline_2025.pdf</t>
        </is>
      </c>
      <c r="J4" s="10" t="inlineStr"/>
    </row>
    <row r="5" ht="45" customHeight="1">
      <c r="A5" s="8" t="inlineStr">
        <is>
          <t>AstraZeneca</t>
        </is>
      </c>
      <c r="B5" s="9" t="inlineStr">
        <is>
          <t>Oncology</t>
        </is>
      </c>
      <c r="C5" s="9" t="inlineStr">
        <is>
          <t>Solid-tumor oncology</t>
        </is>
      </c>
      <c r="D5" s="9" t="inlineStr">
        <is>
          <t>IPH5201</t>
        </is>
      </c>
      <c r="E5" s="9" t="inlineStr">
        <is>
          <t>Phase II</t>
        </is>
      </c>
      <c r="F5" s="9" t="inlineStr">
        <is>
          <t>CD39 monoclonal antibody</t>
        </is>
      </c>
      <c r="G5" s="9" t="inlineStr">
        <is>
          <t>Neoadjuvant/adjuvant NSCLC; listed in combination with Imfinzi</t>
        </is>
      </c>
      <c r="H5" s="9" t="inlineStr">
        <is>
          <t>2026-02-10</t>
        </is>
      </c>
      <c r="I5" s="9" t="inlineStr">
        <is>
          <t>https://www.astrazeneca.com/content/dam/az/Investor_Relations/annual-report-2025/pdf/AstraZeneca_Development_Pipeline_2025.pdf</t>
        </is>
      </c>
      <c r="J5" s="10" t="inlineStr">
        <is>
          <t>Marketed combination backbone excluded from the asset count.</t>
        </is>
      </c>
    </row>
    <row r="6" ht="45" customHeight="1">
      <c r="A6" s="8" t="inlineStr">
        <is>
          <t>AstraZeneca</t>
        </is>
      </c>
      <c r="B6" s="9" t="inlineStr">
        <is>
          <t>Oncology</t>
        </is>
      </c>
      <c r="C6" s="9" t="inlineStr">
        <is>
          <t>Solid-tumor oncology</t>
        </is>
      </c>
      <c r="D6" s="9" t="inlineStr">
        <is>
          <t>puxitatug samrotecan</t>
        </is>
      </c>
      <c r="E6" s="9" t="inlineStr">
        <is>
          <t>Phase III</t>
        </is>
      </c>
      <c r="F6" s="9" t="inlineStr">
        <is>
          <t>B7-H4 TOP1i antibody-drug conjugate</t>
        </is>
      </c>
      <c r="G6" s="9" t="inlineStr">
        <is>
          <t>Solid tumors; Phase III endometrial cancer program</t>
        </is>
      </c>
      <c r="H6" s="9" t="inlineStr">
        <is>
          <t>2026-02-10</t>
        </is>
      </c>
      <c r="I6" s="9" t="inlineStr">
        <is>
          <t>https://www.astrazeneca.com/content/dam/az/Investor_Relations/annual-report-2025/pdf/AstraZeneca_Development_Pipeline_2025.pdf</t>
        </is>
      </c>
      <c r="J6" s="10" t="inlineStr"/>
    </row>
    <row r="7" ht="45" customHeight="1">
      <c r="A7" s="8" t="inlineStr">
        <is>
          <t>AstraZeneca</t>
        </is>
      </c>
      <c r="B7" s="9" t="inlineStr">
        <is>
          <t>Oncology</t>
        </is>
      </c>
      <c r="C7" s="9" t="inlineStr">
        <is>
          <t>Solid-tumor oncology</t>
        </is>
      </c>
      <c r="D7" s="9" t="inlineStr">
        <is>
          <t>rilvegostomig</t>
        </is>
      </c>
      <c r="E7" s="9" t="inlineStr">
        <is>
          <t>Phase III</t>
        </is>
      </c>
      <c r="F7" s="9" t="inlineStr">
        <is>
          <t>PD-1/TIGIT bispecific antibody</t>
        </is>
      </c>
      <c r="G7" s="9" t="inlineStr">
        <is>
          <t>NSCLC, HCC, gastric, biliary and other solid tumors</t>
        </is>
      </c>
      <c r="H7" s="9" t="inlineStr">
        <is>
          <t>2026-02-10</t>
        </is>
      </c>
      <c r="I7" s="9" t="inlineStr">
        <is>
          <t>https://www.astrazeneca.com/content/dam/az/Investor_Relations/annual-report-2025/pdf/AstraZeneca_Development_Pipeline_2025.pdf</t>
        </is>
      </c>
      <c r="J7" s="10" t="inlineStr">
        <is>
          <t>Multiple combinations and indications counted once under the lead asset.</t>
        </is>
      </c>
    </row>
    <row r="8" ht="45" customHeight="1">
      <c r="A8" s="8" t="inlineStr">
        <is>
          <t>AstraZeneca</t>
        </is>
      </c>
      <c r="B8" s="9" t="inlineStr">
        <is>
          <t>Oncology</t>
        </is>
      </c>
      <c r="C8" s="9" t="inlineStr">
        <is>
          <t>Solid-tumor oncology</t>
        </is>
      </c>
      <c r="D8" s="9" t="inlineStr">
        <is>
          <t>saruparib</t>
        </is>
      </c>
      <c r="E8" s="9" t="inlineStr">
        <is>
          <t>Phase III</t>
        </is>
      </c>
      <c r="F8" s="9" t="inlineStr">
        <is>
          <t>PARP1 inhibitor</t>
        </is>
      </c>
      <c r="G8" s="9" t="inlineStr">
        <is>
          <t>Prostate and breast cancer programs</t>
        </is>
      </c>
      <c r="H8" s="9" t="inlineStr">
        <is>
          <t>2026-02-10</t>
        </is>
      </c>
      <c r="I8" s="9" t="inlineStr">
        <is>
          <t>https://www.astrazeneca.com/content/dam/az/Investor_Relations/annual-report-2025/pdf/AstraZeneca_Development_Pipeline_2025.pdf</t>
        </is>
      </c>
      <c r="J8" s="10" t="inlineStr">
        <is>
          <t>Multiple combinations and indications counted once under the lead asset.</t>
        </is>
      </c>
    </row>
    <row r="9" ht="45" customHeight="1">
      <c r="A9" s="8" t="inlineStr">
        <is>
          <t>AstraZeneca</t>
        </is>
      </c>
      <c r="B9" s="9" t="inlineStr">
        <is>
          <t>Oncology</t>
        </is>
      </c>
      <c r="C9" s="9" t="inlineStr">
        <is>
          <t>Solid-tumor oncology</t>
        </is>
      </c>
      <c r="D9" s="9" t="inlineStr">
        <is>
          <t>sonesitatug vedotin</t>
        </is>
      </c>
      <c r="E9" s="9" t="inlineStr">
        <is>
          <t>Phase III</t>
        </is>
      </c>
      <c r="F9" s="9" t="inlineStr">
        <is>
          <t>CLDN18.2 MMAE antibody-drug conjugate</t>
        </is>
      </c>
      <c r="G9" s="9" t="inlineStr">
        <is>
          <t>Solid tumors; Phase III gastric cancer program</t>
        </is>
      </c>
      <c r="H9" s="9" t="inlineStr">
        <is>
          <t>2026-02-10</t>
        </is>
      </c>
      <c r="I9" s="9" t="inlineStr">
        <is>
          <t>https://www.astrazeneca.com/content/dam/az/Investor_Relations/annual-report-2025/pdf/AstraZeneca_Development_Pipeline_2025.pdf</t>
        </is>
      </c>
      <c r="J9" s="10" t="inlineStr"/>
    </row>
    <row r="10" ht="45" customHeight="1">
      <c r="A10" s="8" t="inlineStr">
        <is>
          <t>AstraZeneca</t>
        </is>
      </c>
      <c r="B10" s="9" t="inlineStr">
        <is>
          <t>Oncology</t>
        </is>
      </c>
      <c r="C10" s="9" t="inlineStr">
        <is>
          <t>Solid-tumor oncology</t>
        </is>
      </c>
      <c r="D10" s="9" t="inlineStr">
        <is>
          <t>tilatamig samrotecan</t>
        </is>
      </c>
      <c r="E10" s="9" t="inlineStr">
        <is>
          <t>Phase II</t>
        </is>
      </c>
      <c r="F10" s="9" t="inlineStr">
        <is>
          <t>EGFR/cMET TOP1i antibody-drug conjugate</t>
        </is>
      </c>
      <c r="G10" s="9" t="inlineStr">
        <is>
          <t>Solid tumors</t>
        </is>
      </c>
      <c r="H10" s="9" t="inlineStr">
        <is>
          <t>2026-02-10</t>
        </is>
      </c>
      <c r="I10" s="9" t="inlineStr">
        <is>
          <t>https://www.astrazeneca.com/content/dam/az/Investor_Relations/annual-report-2025/pdf/AstraZeneca_Development_Pipeline_2025.pdf</t>
        </is>
      </c>
      <c r="J10" s="10" t="inlineStr"/>
    </row>
    <row r="11" ht="45" customHeight="1">
      <c r="A11" s="8" t="inlineStr">
        <is>
          <t>AstraZeneca</t>
        </is>
      </c>
      <c r="B11" s="9" t="inlineStr">
        <is>
          <t>Oncology</t>
        </is>
      </c>
      <c r="C11" s="9" t="inlineStr">
        <is>
          <t>Solid-tumor oncology</t>
        </is>
      </c>
      <c r="D11" s="9" t="inlineStr">
        <is>
          <t>torvutatug samrotecan (AZD5335)</t>
        </is>
      </c>
      <c r="E11" s="9" t="inlineStr">
        <is>
          <t>Phase III</t>
        </is>
      </c>
      <c r="F11" s="9" t="inlineStr">
        <is>
          <t>FR-alpha TOP1i antibody-drug conjugate</t>
        </is>
      </c>
      <c r="G11" s="9" t="inlineStr">
        <is>
          <t>Ovarian cancer and other solid tumors</t>
        </is>
      </c>
      <c r="H11" s="9" t="inlineStr">
        <is>
          <t>2026-02-10</t>
        </is>
      </c>
      <c r="I11" s="9" t="inlineStr">
        <is>
          <t>https://www.astrazeneca.com/content/dam/az/Investor_Relations/annual-report-2025/pdf/AstraZeneca_Development_Pipeline_2025.pdf</t>
        </is>
      </c>
      <c r="J11" s="10" t="inlineStr"/>
    </row>
    <row r="12" ht="45" customHeight="1">
      <c r="A12" s="8" t="inlineStr">
        <is>
          <t>AstraZeneca</t>
        </is>
      </c>
      <c r="B12" s="9" t="inlineStr">
        <is>
          <t>Oncology</t>
        </is>
      </c>
      <c r="C12" s="9" t="inlineStr">
        <is>
          <t>Solid-tumor oncology</t>
        </is>
      </c>
      <c r="D12" s="9" t="inlineStr">
        <is>
          <t>volrustomig</t>
        </is>
      </c>
      <c r="E12" s="9" t="inlineStr">
        <is>
          <t>Phase III</t>
        </is>
      </c>
      <c r="F12" s="9" t="inlineStr">
        <is>
          <t>PD-1/CTLA-4 bispecific antibody</t>
        </is>
      </c>
      <c r="G12" s="9" t="inlineStr">
        <is>
          <t>NSCLC, cervical, head and neck, colorectal and mesothelioma</t>
        </is>
      </c>
      <c r="H12" s="9" t="inlineStr">
        <is>
          <t>2026-02-10</t>
        </is>
      </c>
      <c r="I12" s="9" t="inlineStr">
        <is>
          <t>https://www.astrazeneca.com/content/dam/az/Investor_Relations/annual-report-2025/pdf/AstraZeneca_Development_Pipeline_2025.pdf</t>
        </is>
      </c>
      <c r="J12" s="10" t="inlineStr">
        <is>
          <t>Multiple indications counted once under the lead asset.</t>
        </is>
      </c>
    </row>
    <row r="13" ht="45" customHeight="1">
      <c r="A13" s="8" t="inlineStr">
        <is>
          <t>AstraZeneca</t>
        </is>
      </c>
      <c r="B13" s="9" t="inlineStr">
        <is>
          <t>Oncology</t>
        </is>
      </c>
      <c r="C13" s="9" t="inlineStr">
        <is>
          <t>Hematology</t>
        </is>
      </c>
      <c r="D13" s="9" t="inlineStr">
        <is>
          <t>AZD0120</t>
        </is>
      </c>
      <c r="E13" s="9" t="inlineStr">
        <is>
          <t>Phase II</t>
        </is>
      </c>
      <c r="F13" s="9" t="inlineStr">
        <is>
          <t>CD19/BCMA CAR-T</t>
        </is>
      </c>
      <c r="G13" s="9" t="inlineStr">
        <is>
          <t>Multiple myeloma</t>
        </is>
      </c>
      <c r="H13" s="9" t="inlineStr">
        <is>
          <t>2026-02-10</t>
        </is>
      </c>
      <c r="I13" s="9" t="inlineStr">
        <is>
          <t>https://www.astrazeneca.com/content/dam/az/Investor_Relations/annual-report-2025/pdf/AstraZeneca_Development_Pipeline_2025.pdf</t>
        </is>
      </c>
      <c r="J13" s="10" t="inlineStr"/>
    </row>
    <row r="14" ht="45" customHeight="1">
      <c r="A14" s="8" t="inlineStr">
        <is>
          <t>AstraZeneca</t>
        </is>
      </c>
      <c r="B14" s="9" t="inlineStr">
        <is>
          <t>Oncology</t>
        </is>
      </c>
      <c r="C14" s="9" t="inlineStr">
        <is>
          <t>Hematology</t>
        </is>
      </c>
      <c r="D14" s="9" t="inlineStr">
        <is>
          <t>AZD0305</t>
        </is>
      </c>
      <c r="E14" s="9" t="inlineStr">
        <is>
          <t>Phase II</t>
        </is>
      </c>
      <c r="F14" s="9" t="inlineStr">
        <is>
          <t>GPRC5D MMAE antibody-drug conjugate</t>
        </is>
      </c>
      <c r="G14" s="9" t="inlineStr">
        <is>
          <t>Relapsed/refractory multiple myeloma</t>
        </is>
      </c>
      <c r="H14" s="9" t="inlineStr">
        <is>
          <t>2026-02-10</t>
        </is>
      </c>
      <c r="I14" s="9" t="inlineStr">
        <is>
          <t>https://www.astrazeneca.com/content/dam/az/Investor_Relations/annual-report-2025/pdf/AstraZeneca_Development_Pipeline_2025.pdf</t>
        </is>
      </c>
      <c r="J14" s="10" t="inlineStr"/>
    </row>
    <row r="15" ht="45" customHeight="1">
      <c r="A15" s="8" t="inlineStr">
        <is>
          <t>AstraZeneca</t>
        </is>
      </c>
      <c r="B15" s="9" t="inlineStr">
        <is>
          <t>Oncology</t>
        </is>
      </c>
      <c r="C15" s="9" t="inlineStr">
        <is>
          <t>Hematology</t>
        </is>
      </c>
      <c r="D15" s="9" t="inlineStr">
        <is>
          <t>AZD3470</t>
        </is>
      </c>
      <c r="E15" s="9" t="inlineStr">
        <is>
          <t>Phase II</t>
        </is>
      </c>
      <c r="F15" s="9" t="inlineStr">
        <is>
          <t>PRMT5 inhibitor</t>
        </is>
      </c>
      <c r="G15" s="9" t="inlineStr">
        <is>
          <t>Classical Hodgkin lymphoma; also early solid-tumor work</t>
        </is>
      </c>
      <c r="H15" s="9" t="inlineStr">
        <is>
          <t>2026-02-10</t>
        </is>
      </c>
      <c r="I15" s="9" t="inlineStr">
        <is>
          <t>https://www.astrazeneca.com/content/dam/az/Investor_Relations/annual-report-2025/pdf/AstraZeneca_Development_Pipeline_2025.pdf</t>
        </is>
      </c>
      <c r="J15" s="10" t="inlineStr">
        <is>
          <t>Classified to hematology based on the disclosed Phase II indication.</t>
        </is>
      </c>
    </row>
    <row r="16" ht="45" customHeight="1">
      <c r="A16" s="8" t="inlineStr">
        <is>
          <t>AstraZeneca</t>
        </is>
      </c>
      <c r="B16" s="9" t="inlineStr">
        <is>
          <t>Oncology</t>
        </is>
      </c>
      <c r="C16" s="9" t="inlineStr">
        <is>
          <t>Hematology</t>
        </is>
      </c>
      <c r="D16" s="9" t="inlineStr">
        <is>
          <t>surovatamig</t>
        </is>
      </c>
      <c r="E16" s="9" t="inlineStr">
        <is>
          <t>Phase III</t>
        </is>
      </c>
      <c r="F16" s="9" t="inlineStr">
        <is>
          <t>CD19/CD3 T-cell engager</t>
        </is>
      </c>
      <c r="G16" s="9" t="inlineStr">
        <is>
          <t>B-cell malignancies including DLBCL, follicular lymphoma and B-ALL</t>
        </is>
      </c>
      <c r="H16" s="9" t="inlineStr">
        <is>
          <t>2026-02-10</t>
        </is>
      </c>
      <c r="I16" s="9" t="inlineStr">
        <is>
          <t>https://www.astrazeneca.com/content/dam/az/Investor_Relations/annual-report-2025/pdf/AstraZeneca_Development_Pipeline_2025.pdf</t>
        </is>
      </c>
      <c r="J16" s="10" t="inlineStr">
        <is>
          <t>Multiple indications counted once under the lead asset.</t>
        </is>
      </c>
    </row>
    <row r="17" ht="45" customHeight="1">
      <c r="A17" s="8" t="inlineStr">
        <is>
          <t>AstraZeneca</t>
        </is>
      </c>
      <c r="B17" s="9" t="inlineStr">
        <is>
          <t>Respiratory &amp; Immunology</t>
        </is>
      </c>
      <c r="C17" s="9" t="inlineStr">
        <is>
          <t>Immunology, respiratory &amp; fibrosis</t>
        </is>
      </c>
      <c r="D17" s="9" t="inlineStr">
        <is>
          <t>atuliflapon</t>
        </is>
      </c>
      <c r="E17" s="9" t="inlineStr">
        <is>
          <t>Phase II</t>
        </is>
      </c>
      <c r="F17" s="9" t="inlineStr">
        <is>
          <t>FLAP inhibitor</t>
        </is>
      </c>
      <c r="G17" s="9" t="inlineStr">
        <is>
          <t>Asthma</t>
        </is>
      </c>
      <c r="H17" s="9" t="inlineStr">
        <is>
          <t>2026-02-10</t>
        </is>
      </c>
      <c r="I17" s="9" t="inlineStr">
        <is>
          <t>https://www.astrazeneca.com/content/dam/az/Investor_Relations/annual-report-2025/pdf/AstraZeneca_Development_Pipeline_2025.pdf</t>
        </is>
      </c>
      <c r="J17" s="10" t="inlineStr"/>
    </row>
    <row r="18" ht="45" customHeight="1">
      <c r="A18" s="8" t="inlineStr">
        <is>
          <t>AstraZeneca</t>
        </is>
      </c>
      <c r="B18" s="9" t="inlineStr">
        <is>
          <t>Respiratory &amp; Immunology</t>
        </is>
      </c>
      <c r="C18" s="9" t="inlineStr">
        <is>
          <t>Immunology, respiratory &amp; fibrosis</t>
        </is>
      </c>
      <c r="D18" s="9" t="inlineStr">
        <is>
          <t>AZD1163</t>
        </is>
      </c>
      <c r="E18" s="9" t="inlineStr">
        <is>
          <t>Phase II</t>
        </is>
      </c>
      <c r="F18" s="9" t="inlineStr">
        <is>
          <t>PAD2/4 bispecific antibody</t>
        </is>
      </c>
      <c r="G18" s="9" t="inlineStr">
        <is>
          <t>Rheumatoid arthritis</t>
        </is>
      </c>
      <c r="H18" s="9" t="inlineStr">
        <is>
          <t>2026-02-10</t>
        </is>
      </c>
      <c r="I18" s="9" t="inlineStr">
        <is>
          <t>https://www.astrazeneca.com/content/dam/az/Investor_Relations/annual-report-2025/pdf/AstraZeneca_Development_Pipeline_2025.pdf</t>
        </is>
      </c>
      <c r="J18" s="10" t="inlineStr"/>
    </row>
    <row r="19" ht="45" customHeight="1">
      <c r="A19" s="8" t="inlineStr">
        <is>
          <t>AstraZeneca</t>
        </is>
      </c>
      <c r="B19" s="9" t="inlineStr">
        <is>
          <t>Respiratory &amp; Immunology</t>
        </is>
      </c>
      <c r="C19" s="9" t="inlineStr">
        <is>
          <t>Immunology, respiratory &amp; fibrosis</t>
        </is>
      </c>
      <c r="D19" s="9" t="inlineStr">
        <is>
          <t>AZD4604</t>
        </is>
      </c>
      <c r="E19" s="9" t="inlineStr">
        <is>
          <t>Phase II</t>
        </is>
      </c>
      <c r="F19" s="9" t="inlineStr">
        <is>
          <t>Inhaled JAK1 inhibitor</t>
        </is>
      </c>
      <c r="G19" s="9" t="inlineStr">
        <is>
          <t>Asthma</t>
        </is>
      </c>
      <c r="H19" s="9" t="inlineStr">
        <is>
          <t>2026-02-10</t>
        </is>
      </c>
      <c r="I19" s="9" t="inlineStr">
        <is>
          <t>https://www.astrazeneca.com/content/dam/az/Investor_Relations/annual-report-2025/pdf/AstraZeneca_Development_Pipeline_2025.pdf</t>
        </is>
      </c>
      <c r="J19" s="10" t="inlineStr"/>
    </row>
    <row r="20" ht="45" customHeight="1">
      <c r="A20" s="8" t="inlineStr">
        <is>
          <t>AstraZeneca</t>
        </is>
      </c>
      <c r="B20" s="9" t="inlineStr">
        <is>
          <t>Respiratory &amp; Immunology</t>
        </is>
      </c>
      <c r="C20" s="9" t="inlineStr">
        <is>
          <t>Immunology, respiratory &amp; fibrosis</t>
        </is>
      </c>
      <c r="D20" s="9" t="inlineStr">
        <is>
          <t>AZD6793</t>
        </is>
      </c>
      <c r="E20" s="9" t="inlineStr">
        <is>
          <t>Phase II</t>
        </is>
      </c>
      <c r="F20" s="9" t="inlineStr">
        <is>
          <t>IRAK4 inhibitor</t>
        </is>
      </c>
      <c r="G20" s="9" t="inlineStr">
        <is>
          <t>COPD</t>
        </is>
      </c>
      <c r="H20" s="9" t="inlineStr">
        <is>
          <t>2026-02-10</t>
        </is>
      </c>
      <c r="I20" s="9" t="inlineStr">
        <is>
          <t>https://www.astrazeneca.com/content/dam/az/Investor_Relations/annual-report-2025/pdf/AstraZeneca_Development_Pipeline_2025.pdf</t>
        </is>
      </c>
      <c r="J20" s="10" t="inlineStr"/>
    </row>
    <row r="21" ht="45" customHeight="1">
      <c r="A21" s="8" t="inlineStr">
        <is>
          <t>AstraZeneca</t>
        </is>
      </c>
      <c r="B21" s="9" t="inlineStr">
        <is>
          <t>Respiratory &amp; Immunology</t>
        </is>
      </c>
      <c r="C21" s="9" t="inlineStr">
        <is>
          <t>Immunology, respiratory &amp; fibrosis</t>
        </is>
      </c>
      <c r="D21" s="9" t="inlineStr">
        <is>
          <t>AZD7798</t>
        </is>
      </c>
      <c r="E21" s="9" t="inlineStr">
        <is>
          <t>Phase II</t>
        </is>
      </c>
      <c r="F21" s="9" t="inlineStr">
        <is>
          <t>T-cell-subset-targeting monoclonal antibody</t>
        </is>
      </c>
      <c r="G21" s="9" t="inlineStr">
        <is>
          <t>Crohn's disease</t>
        </is>
      </c>
      <c r="H21" s="9" t="inlineStr">
        <is>
          <t>2026-02-10</t>
        </is>
      </c>
      <c r="I21" s="9" t="inlineStr">
        <is>
          <t>https://www.astrazeneca.com/content/dam/az/Investor_Relations/annual-report-2025/pdf/AstraZeneca_Development_Pipeline_2025.pdf</t>
        </is>
      </c>
      <c r="J21" s="10" t="inlineStr"/>
    </row>
    <row r="22" ht="45" customHeight="1">
      <c r="A22" s="8" t="inlineStr">
        <is>
          <t>AstraZeneca</t>
        </is>
      </c>
      <c r="B22" s="9" t="inlineStr">
        <is>
          <t>Respiratory &amp; Immunology</t>
        </is>
      </c>
      <c r="C22" s="9" t="inlineStr">
        <is>
          <t>Immunology, respiratory &amp; fibrosis</t>
        </is>
      </c>
      <c r="D22" s="9" t="inlineStr">
        <is>
          <t>AZD8630</t>
        </is>
      </c>
      <c r="E22" s="9" t="inlineStr">
        <is>
          <t>Phase II</t>
        </is>
      </c>
      <c r="F22" s="9" t="inlineStr">
        <is>
          <t>Inhaled TSLP Fab</t>
        </is>
      </c>
      <c r="G22" s="9" t="inlineStr">
        <is>
          <t>Asthma</t>
        </is>
      </c>
      <c r="H22" s="9" t="inlineStr">
        <is>
          <t>2026-02-10</t>
        </is>
      </c>
      <c r="I22" s="9" t="inlineStr">
        <is>
          <t>https://www.astrazeneca.com/content/dam/az/Investor_Relations/annual-report-2025/pdf/AstraZeneca_Development_Pipeline_2025.pdf</t>
        </is>
      </c>
      <c r="J22" s="10" t="inlineStr"/>
    </row>
    <row r="23" ht="45" customHeight="1">
      <c r="A23" s="8" t="inlineStr">
        <is>
          <t>AstraZeneca</t>
        </is>
      </c>
      <c r="B23" s="9" t="inlineStr">
        <is>
          <t>Respiratory &amp; Immunology</t>
        </is>
      </c>
      <c r="C23" s="9" t="inlineStr">
        <is>
          <t>Immunology, respiratory &amp; fibrosis</t>
        </is>
      </c>
      <c r="D23" s="9" t="inlineStr">
        <is>
          <t>tozorakimab</t>
        </is>
      </c>
      <c r="E23" s="9" t="inlineStr">
        <is>
          <t>Phase III</t>
        </is>
      </c>
      <c r="F23" s="9" t="inlineStr">
        <is>
          <t>IL-33 monoclonal antibody</t>
        </is>
      </c>
      <c r="G23" s="9" t="inlineStr">
        <is>
          <t>COPD and severe viral lower respiratory tract disease</t>
        </is>
      </c>
      <c r="H23" s="9" t="inlineStr">
        <is>
          <t>2026-02-10</t>
        </is>
      </c>
      <c r="I23" s="9" t="inlineStr">
        <is>
          <t>https://www.astrazeneca.com/content/dam/az/Investor_Relations/annual-report-2025/pdf/AstraZeneca_Development_Pipeline_2025.pdf</t>
        </is>
      </c>
      <c r="J23" s="10" t="inlineStr"/>
    </row>
    <row r="24" ht="45" customHeight="1">
      <c r="A24" s="8" t="inlineStr">
        <is>
          <t>AstraZeneca</t>
        </is>
      </c>
      <c r="B24" s="9" t="inlineStr">
        <is>
          <t>CVRM</t>
        </is>
      </c>
      <c r="C24" s="9" t="inlineStr">
        <is>
          <t>Cardiovascular</t>
        </is>
      </c>
      <c r="D24" s="9" t="inlineStr">
        <is>
          <t>AZD5462</t>
        </is>
      </c>
      <c r="E24" s="9" t="inlineStr">
        <is>
          <t>Phase II</t>
        </is>
      </c>
      <c r="F24" s="9" t="inlineStr">
        <is>
          <t>RXFP1 agonist</t>
        </is>
      </c>
      <c r="G24" s="9" t="inlineStr">
        <is>
          <t>Heart failure</t>
        </is>
      </c>
      <c r="H24" s="9" t="inlineStr">
        <is>
          <t>2026-02-10</t>
        </is>
      </c>
      <c r="I24" s="9" t="inlineStr">
        <is>
          <t>https://www.astrazeneca.com/content/dam/az/Investor_Relations/annual-report-2025/pdf/AstraZeneca_Development_Pipeline_2025.pdf</t>
        </is>
      </c>
      <c r="J24" s="10" t="inlineStr"/>
    </row>
    <row r="25" ht="45" customHeight="1">
      <c r="A25" s="8" t="inlineStr">
        <is>
          <t>AstraZeneca</t>
        </is>
      </c>
      <c r="B25" s="9" t="inlineStr">
        <is>
          <t>CVRM</t>
        </is>
      </c>
      <c r="C25" s="9" t="inlineStr">
        <is>
          <t>Cardiovascular</t>
        </is>
      </c>
      <c r="D25" s="9" t="inlineStr">
        <is>
          <t>baxdrostat</t>
        </is>
      </c>
      <c r="E25" s="9" t="inlineStr">
        <is>
          <t>Phase III / registration</t>
        </is>
      </c>
      <c r="F25" s="9" t="inlineStr">
        <is>
          <t>Aldosterone synthase inhibitor</t>
        </is>
      </c>
      <c r="G25" s="9" t="inlineStr">
        <is>
          <t>Hypertension and primary aldosteronism</t>
        </is>
      </c>
      <c r="H25" s="9" t="inlineStr">
        <is>
          <t>2026-02-10</t>
        </is>
      </c>
      <c r="I25" s="9" t="inlineStr">
        <is>
          <t>https://www.astrazeneca.com/content/dam/az/Investor_Relations/annual-report-2025/pdf/AstraZeneca_Development_Pipeline_2025.pdf</t>
        </is>
      </c>
      <c r="J25" s="10" t="inlineStr">
        <is>
          <t>Programs with dapagliflozin counted once under baxdrostat.</t>
        </is>
      </c>
    </row>
    <row r="26" ht="45" customHeight="1">
      <c r="A26" s="8" t="inlineStr">
        <is>
          <t>AstraZeneca</t>
        </is>
      </c>
      <c r="B26" s="9" t="inlineStr">
        <is>
          <t>CVRM</t>
        </is>
      </c>
      <c r="C26" s="9" t="inlineStr">
        <is>
          <t>Cardiovascular</t>
        </is>
      </c>
      <c r="D26" s="9" t="inlineStr">
        <is>
          <t>laroprovstat</t>
        </is>
      </c>
      <c r="E26" s="9" t="inlineStr">
        <is>
          <t>Phase III</t>
        </is>
      </c>
      <c r="F26" s="9" t="inlineStr">
        <is>
          <t>PCSK9 inhibitor</t>
        </is>
      </c>
      <c r="G26" s="9" t="inlineStr">
        <is>
          <t>Dyslipidemia</t>
        </is>
      </c>
      <c r="H26" s="9" t="inlineStr">
        <is>
          <t>2026-02-10</t>
        </is>
      </c>
      <c r="I26" s="9" t="inlineStr">
        <is>
          <t>https://www.astrazeneca.com/content/dam/az/Investor_Relations/annual-report-2025/pdf/AstraZeneca_Development_Pipeline_2025.pdf</t>
        </is>
      </c>
      <c r="J26" s="10" t="inlineStr"/>
    </row>
    <row r="27" ht="45" customHeight="1">
      <c r="A27" s="8" t="inlineStr">
        <is>
          <t>AstraZeneca</t>
        </is>
      </c>
      <c r="B27" s="9" t="inlineStr">
        <is>
          <t>CVRM</t>
        </is>
      </c>
      <c r="C27" s="9" t="inlineStr">
        <is>
          <t>Renal &amp; metabolic</t>
        </is>
      </c>
      <c r="D27" s="9" t="inlineStr">
        <is>
          <t>AZD2389</t>
        </is>
      </c>
      <c r="E27" s="9" t="inlineStr">
        <is>
          <t>Phase II</t>
        </is>
      </c>
      <c r="F27" s="9" t="inlineStr">
        <is>
          <t>Anti-fibrotic mechanism</t>
        </is>
      </c>
      <c r="G27" s="9" t="inlineStr">
        <is>
          <t>Metabolic dysfunction-associated steatohepatitis</t>
        </is>
      </c>
      <c r="H27" s="9" t="inlineStr">
        <is>
          <t>2026-02-10</t>
        </is>
      </c>
      <c r="I27" s="9" t="inlineStr">
        <is>
          <t>https://www.astrazeneca.com/content/dam/az/Investor_Relations/annual-report-2025/pdf/AstraZeneca_Development_Pipeline_2025.pdf</t>
        </is>
      </c>
      <c r="J27" s="10" t="inlineStr"/>
    </row>
    <row r="28" ht="45" customHeight="1">
      <c r="A28" s="8" t="inlineStr">
        <is>
          <t>AstraZeneca</t>
        </is>
      </c>
      <c r="B28" s="9" t="inlineStr">
        <is>
          <t>CVRM</t>
        </is>
      </c>
      <c r="C28" s="9" t="inlineStr">
        <is>
          <t>Renal &amp; metabolic</t>
        </is>
      </c>
      <c r="D28" s="9" t="inlineStr">
        <is>
          <t>AZD6234</t>
        </is>
      </c>
      <c r="E28" s="9" t="inlineStr">
        <is>
          <t>Phase II</t>
        </is>
      </c>
      <c r="F28" s="9" t="inlineStr">
        <is>
          <t>Peptide therapy</t>
        </is>
      </c>
      <c r="G28" s="9" t="inlineStr">
        <is>
          <t>Chronic weight management</t>
        </is>
      </c>
      <c r="H28" s="9" t="inlineStr">
        <is>
          <t>2026-02-10</t>
        </is>
      </c>
      <c r="I28" s="9" t="inlineStr">
        <is>
          <t>https://www.astrazeneca.com/content/dam/az/Investor_Relations/annual-report-2025/pdf/AstraZeneca_Development_Pipeline_2025.pdf</t>
        </is>
      </c>
      <c r="J28" s="10" t="inlineStr"/>
    </row>
    <row r="29" ht="45" customHeight="1">
      <c r="A29" s="8" t="inlineStr">
        <is>
          <t>AstraZeneca</t>
        </is>
      </c>
      <c r="B29" s="9" t="inlineStr">
        <is>
          <t>CVRM</t>
        </is>
      </c>
      <c r="C29" s="9" t="inlineStr">
        <is>
          <t>Renal &amp; metabolic</t>
        </is>
      </c>
      <c r="D29" s="9" t="inlineStr">
        <is>
          <t>AZD9550 + AZD6234</t>
        </is>
      </c>
      <c r="E29" s="9" t="inlineStr">
        <is>
          <t>Phase II</t>
        </is>
      </c>
      <c r="F29" s="9" t="inlineStr">
        <is>
          <t>GLP-1/glucagon dual agonist plus amylin agonist</t>
        </is>
      </c>
      <c r="G29" s="9" t="inlineStr">
        <is>
          <t>Obesity</t>
        </is>
      </c>
      <c r="H29" s="9" t="inlineStr">
        <is>
          <t>2026-02-10</t>
        </is>
      </c>
      <c r="I29" s="9" t="inlineStr">
        <is>
          <t>https://www.astrazeneca.com/content/dam/az/Investor_Relations/annual-report-2025/pdf/AstraZeneca_Development_Pipeline_2025.pdf</t>
        </is>
      </c>
      <c r="J29" s="10" t="inlineStr">
        <is>
          <t>Two-investigational-asset combination counted as one disclosed program.</t>
        </is>
      </c>
    </row>
    <row r="30" ht="45" customHeight="1">
      <c r="A30" s="8" t="inlineStr">
        <is>
          <t>AstraZeneca</t>
        </is>
      </c>
      <c r="B30" s="9" t="inlineStr">
        <is>
          <t>CVRM</t>
        </is>
      </c>
      <c r="C30" s="9" t="inlineStr">
        <is>
          <t>Renal &amp; metabolic</t>
        </is>
      </c>
      <c r="D30" s="9" t="inlineStr">
        <is>
          <t>balcinrenone / dapagliflozin</t>
        </is>
      </c>
      <c r="E30" s="9" t="inlineStr">
        <is>
          <t>Phase III</t>
        </is>
      </c>
      <c r="F30" s="9" t="inlineStr">
        <is>
          <t>Mineralocorticoid receptor modulator plus SGLT2 inhibitor</t>
        </is>
      </c>
      <c r="G30" s="9" t="inlineStr">
        <is>
          <t>CKD and heart failure with CKD</t>
        </is>
      </c>
      <c r="H30" s="9" t="inlineStr">
        <is>
          <t>2026-02-10</t>
        </is>
      </c>
      <c r="I30" s="9" t="inlineStr">
        <is>
          <t>https://www.astrazeneca.com/content/dam/az/Investor_Relations/annual-report-2025/pdf/AstraZeneca_Development_Pipeline_2025.pdf</t>
        </is>
      </c>
      <c r="J30" s="10" t="inlineStr"/>
    </row>
    <row r="31" ht="45" customHeight="1">
      <c r="A31" s="8" t="inlineStr">
        <is>
          <t>AstraZeneca</t>
        </is>
      </c>
      <c r="B31" s="9" t="inlineStr">
        <is>
          <t>CVRM</t>
        </is>
      </c>
      <c r="C31" s="9" t="inlineStr">
        <is>
          <t>Renal &amp; metabolic</t>
        </is>
      </c>
      <c r="D31" s="9" t="inlineStr">
        <is>
          <t>elecoglipron (AZD5004)</t>
        </is>
      </c>
      <c r="E31" s="9" t="inlineStr">
        <is>
          <t>Phase II</t>
        </is>
      </c>
      <c r="F31" s="9" t="inlineStr">
        <is>
          <t>Oral GLP-1 receptor agonist</t>
        </is>
      </c>
      <c r="G31" s="9" t="inlineStr">
        <is>
          <t>Type 2 diabetes and chronic weight management</t>
        </is>
      </c>
      <c r="H31" s="9" t="inlineStr">
        <is>
          <t>2026-02-10</t>
        </is>
      </c>
      <c r="I31" s="9" t="inlineStr">
        <is>
          <t>https://www.astrazeneca.com/content/dam/az/Investor_Relations/annual-report-2025/pdf/AstraZeneca_Development_Pipeline_2025.pdf</t>
        </is>
      </c>
      <c r="J31" s="10" t="inlineStr"/>
    </row>
    <row r="32" ht="45" customHeight="1">
      <c r="A32" s="8" t="inlineStr">
        <is>
          <t>AstraZeneca</t>
        </is>
      </c>
      <c r="B32" s="9" t="inlineStr">
        <is>
          <t>CVRM</t>
        </is>
      </c>
      <c r="C32" s="9" t="inlineStr">
        <is>
          <t>Renal &amp; metabolic</t>
        </is>
      </c>
      <c r="D32" s="9" t="inlineStr">
        <is>
          <t>opemalirsen</t>
        </is>
      </c>
      <c r="E32" s="9" t="inlineStr">
        <is>
          <t>Phase II</t>
        </is>
      </c>
      <c r="F32" s="9" t="inlineStr">
        <is>
          <t>Podocyte-health therapeutic</t>
        </is>
      </c>
      <c r="G32" s="9" t="inlineStr">
        <is>
          <t>Nephropathy</t>
        </is>
      </c>
      <c r="H32" s="9" t="inlineStr">
        <is>
          <t>2026-02-10</t>
        </is>
      </c>
      <c r="I32" s="9" t="inlineStr">
        <is>
          <t>https://www.astrazeneca.com/content/dam/az/Investor_Relations/annual-report-2025/pdf/AstraZeneca_Development_Pipeline_2025.pdf</t>
        </is>
      </c>
      <c r="J32" s="10" t="inlineStr"/>
    </row>
    <row r="33" ht="45" customHeight="1">
      <c r="A33" s="8" t="inlineStr">
        <is>
          <t>AstraZeneca</t>
        </is>
      </c>
      <c r="B33" s="9" t="inlineStr">
        <is>
          <t>CVRM</t>
        </is>
      </c>
      <c r="C33" s="9" t="inlineStr">
        <is>
          <t>Renal &amp; metabolic</t>
        </is>
      </c>
      <c r="D33" s="9" t="inlineStr">
        <is>
          <t>zibotentan / dapagliflozin</t>
        </is>
      </c>
      <c r="E33" s="9" t="inlineStr">
        <is>
          <t>Phase III</t>
        </is>
      </c>
      <c r="F33" s="9" t="inlineStr">
        <is>
          <t>Endothelin-A receptor antagonist plus SGLT2 inhibitor</t>
        </is>
      </c>
      <c r="G33" s="9" t="inlineStr">
        <is>
          <t>CKD with high proteinuria</t>
        </is>
      </c>
      <c r="H33" s="9" t="inlineStr">
        <is>
          <t>2026-02-10</t>
        </is>
      </c>
      <c r="I33" s="9" t="inlineStr">
        <is>
          <t>https://www.astrazeneca.com/content/dam/az/Investor_Relations/annual-report-2025/pdf/AstraZeneca_Development_Pipeline_2025.pdf</t>
        </is>
      </c>
      <c r="J33" s="10" t="inlineStr"/>
    </row>
    <row r="34" ht="45" customHeight="1">
      <c r="A34" s="8" t="inlineStr">
        <is>
          <t>AstraZeneca</t>
        </is>
      </c>
      <c r="B34" s="9" t="inlineStr">
        <is>
          <t>Rare Disease</t>
        </is>
      </c>
      <c r="C34" s="9" t="inlineStr">
        <is>
          <t>Rare disease</t>
        </is>
      </c>
      <c r="D34" s="9" t="inlineStr">
        <is>
          <t>ALXN1920</t>
        </is>
      </c>
      <c r="E34" s="9" t="inlineStr">
        <is>
          <t>Phase II</t>
        </is>
      </c>
      <c r="F34" s="9" t="inlineStr">
        <is>
          <t>Kidney-targeted factor H fusion protein</t>
        </is>
      </c>
      <c r="G34" s="9" t="inlineStr">
        <is>
          <t>Primary membranous nephropathy</t>
        </is>
      </c>
      <c r="H34" s="9" t="inlineStr">
        <is>
          <t>2026-02-10</t>
        </is>
      </c>
      <c r="I34" s="9" t="inlineStr">
        <is>
          <t>https://www.astrazeneca.com/content/dam/az/Investor_Relations/annual-report-2025/pdf/AstraZeneca_Development_Pipeline_2025.pdf</t>
        </is>
      </c>
      <c r="J34" s="10" t="inlineStr"/>
    </row>
    <row r="35" ht="45" customHeight="1">
      <c r="A35" s="8" t="inlineStr">
        <is>
          <t>AstraZeneca</t>
        </is>
      </c>
      <c r="B35" s="9" t="inlineStr">
        <is>
          <t>Rare Disease</t>
        </is>
      </c>
      <c r="C35" s="9" t="inlineStr">
        <is>
          <t>Rare disease</t>
        </is>
      </c>
      <c r="D35" s="9" t="inlineStr">
        <is>
          <t>ALXN2030</t>
        </is>
      </c>
      <c r="E35" s="9" t="inlineStr">
        <is>
          <t>Phase II</t>
        </is>
      </c>
      <c r="F35" s="9" t="inlineStr">
        <is>
          <t>Complement C3-targeting siRNA</t>
        </is>
      </c>
      <c r="G35" s="9" t="inlineStr">
        <is>
          <t>Antibody-mediated rejection</t>
        </is>
      </c>
      <c r="H35" s="9" t="inlineStr">
        <is>
          <t>2026-02-10</t>
        </is>
      </c>
      <c r="I35" s="9" t="inlineStr">
        <is>
          <t>https://www.astrazeneca.com/content/dam/az/Investor_Relations/annual-report-2025/pdf/AstraZeneca_Development_Pipeline_2025.pdf</t>
        </is>
      </c>
      <c r="J35" s="10" t="inlineStr"/>
    </row>
    <row r="36" ht="45" customHeight="1">
      <c r="A36" s="8" t="inlineStr">
        <is>
          <t>AstraZeneca</t>
        </is>
      </c>
      <c r="B36" s="9" t="inlineStr">
        <is>
          <t>Rare Disease</t>
        </is>
      </c>
      <c r="C36" s="9" t="inlineStr">
        <is>
          <t>Rare disease</t>
        </is>
      </c>
      <c r="D36" s="9" t="inlineStr">
        <is>
          <t>ALXN2420</t>
        </is>
      </c>
      <c r="E36" s="9" t="inlineStr">
        <is>
          <t>Phase II</t>
        </is>
      </c>
      <c r="F36" s="9" t="inlineStr">
        <is>
          <t>Growth hormone receptor antagonist</t>
        </is>
      </c>
      <c r="G36" s="9" t="inlineStr">
        <is>
          <t>Acromegaly</t>
        </is>
      </c>
      <c r="H36" s="9" t="inlineStr">
        <is>
          <t>2026-02-10</t>
        </is>
      </c>
      <c r="I36" s="9" t="inlineStr">
        <is>
          <t>https://www.astrazeneca.com/content/dam/az/Investor_Relations/annual-report-2025/pdf/AstraZeneca_Development_Pipeline_2025.pdf</t>
        </is>
      </c>
      <c r="J36" s="10" t="inlineStr"/>
    </row>
    <row r="37" ht="45" customHeight="1">
      <c r="A37" s="8" t="inlineStr">
        <is>
          <t>AstraZeneca</t>
        </is>
      </c>
      <c r="B37" s="9" t="inlineStr">
        <is>
          <t>Rare Disease</t>
        </is>
      </c>
      <c r="C37" s="9" t="inlineStr">
        <is>
          <t>Rare disease</t>
        </is>
      </c>
      <c r="D37" s="9" t="inlineStr">
        <is>
          <t>tarperprumig</t>
        </is>
      </c>
      <c r="E37" s="9" t="inlineStr">
        <is>
          <t>Phase II</t>
        </is>
      </c>
      <c r="F37" s="9" t="inlineStr">
        <is>
          <t>Kinase inhibitor</t>
        </is>
      </c>
      <c r="G37" s="9" t="inlineStr">
        <is>
          <t>ANCA-associated vasculitis</t>
        </is>
      </c>
      <c r="H37" s="9" t="inlineStr">
        <is>
          <t>2026-02-10</t>
        </is>
      </c>
      <c r="I37" s="9" t="inlineStr">
        <is>
          <t>https://www.astrazeneca.com/content/dam/az/Investor_Relations/annual-report-2025/pdf/AstraZeneca_Development_Pipeline_2025.pdf</t>
        </is>
      </c>
      <c r="J37" s="10" t="inlineStr"/>
    </row>
    <row r="38" ht="45" customHeight="1">
      <c r="A38" s="8" t="inlineStr">
        <is>
          <t>AstraZeneca</t>
        </is>
      </c>
      <c r="B38" s="9" t="inlineStr">
        <is>
          <t>Rare Disease</t>
        </is>
      </c>
      <c r="C38" s="9" t="inlineStr">
        <is>
          <t>Rare disease</t>
        </is>
      </c>
      <c r="D38" s="9" t="inlineStr">
        <is>
          <t>anselamimab</t>
        </is>
      </c>
      <c r="E38" s="9" t="inlineStr">
        <is>
          <t>Phase III / registration</t>
        </is>
      </c>
      <c r="F38" s="9" t="inlineStr">
        <is>
          <t>Fibril-reactive monoclonal antibody</t>
        </is>
      </c>
      <c r="G38" s="9" t="inlineStr">
        <is>
          <t>AL amyloidosis</t>
        </is>
      </c>
      <c r="H38" s="9" t="inlineStr">
        <is>
          <t>2026-02-10</t>
        </is>
      </c>
      <c r="I38" s="9" t="inlineStr">
        <is>
          <t>https://www.astrazeneca.com/content/dam/az/Investor_Relations/annual-report-2025/pdf/AstraZeneca_Development_Pipeline_2025.pdf</t>
        </is>
      </c>
      <c r="J38" s="10" t="inlineStr"/>
    </row>
    <row r="39" ht="45" customHeight="1">
      <c r="A39" s="8" t="inlineStr">
        <is>
          <t>AstraZeneca</t>
        </is>
      </c>
      <c r="B39" s="9" t="inlineStr">
        <is>
          <t>Rare Disease</t>
        </is>
      </c>
      <c r="C39" s="9" t="inlineStr">
        <is>
          <t>Rare disease</t>
        </is>
      </c>
      <c r="D39" s="9" t="inlineStr">
        <is>
          <t>cliramitug</t>
        </is>
      </c>
      <c r="E39" s="9" t="inlineStr">
        <is>
          <t>Phase III</t>
        </is>
      </c>
      <c r="F39" s="9" t="inlineStr">
        <is>
          <t>Transthyretin depleter</t>
        </is>
      </c>
      <c r="G39" s="9" t="inlineStr">
        <is>
          <t>Transthyretin amyloid cardiomyopathy</t>
        </is>
      </c>
      <c r="H39" s="9" t="inlineStr">
        <is>
          <t>2026-02-10</t>
        </is>
      </c>
      <c r="I39" s="9" t="inlineStr">
        <is>
          <t>https://www.astrazeneca.com/content/dam/az/Investor_Relations/annual-report-2025/pdf/AstraZeneca_Development_Pipeline_2025.pdf</t>
        </is>
      </c>
      <c r="J39" s="10" t="inlineStr"/>
    </row>
    <row r="40" ht="45" customHeight="1">
      <c r="A40" s="8" t="inlineStr">
        <is>
          <t>AstraZeneca</t>
        </is>
      </c>
      <c r="B40" s="9" t="inlineStr">
        <is>
          <t>Rare Disease</t>
        </is>
      </c>
      <c r="C40" s="9" t="inlineStr">
        <is>
          <t>Rare disease</t>
        </is>
      </c>
      <c r="D40" s="9" t="inlineStr">
        <is>
          <t>efzimfotase alfa</t>
        </is>
      </c>
      <c r="E40" s="9" t="inlineStr">
        <is>
          <t>Phase III</t>
        </is>
      </c>
      <c r="F40" s="9" t="inlineStr">
        <is>
          <t>Next-generation TNSALP enzyme replacement therapy</t>
        </is>
      </c>
      <c r="G40" s="9" t="inlineStr">
        <is>
          <t>Hypophosphatasia</t>
        </is>
      </c>
      <c r="H40" s="9" t="inlineStr">
        <is>
          <t>2026-02-10</t>
        </is>
      </c>
      <c r="I40" s="9" t="inlineStr">
        <is>
          <t>https://www.astrazeneca.com/content/dam/az/Investor_Relations/annual-report-2025/pdf/AstraZeneca_Development_Pipeline_2025.pdf</t>
        </is>
      </c>
      <c r="J40" s="10" t="inlineStr"/>
    </row>
    <row r="41" ht="45" customHeight="1">
      <c r="A41" s="8" t="inlineStr">
        <is>
          <t>AstraZeneca</t>
        </is>
      </c>
      <c r="B41" s="9" t="inlineStr">
        <is>
          <t>Rare Disease</t>
        </is>
      </c>
      <c r="C41" s="9" t="inlineStr">
        <is>
          <t>Rare disease</t>
        </is>
      </c>
      <c r="D41" s="9" t="inlineStr">
        <is>
          <t>eneboparatide</t>
        </is>
      </c>
      <c r="E41" s="9" t="inlineStr">
        <is>
          <t>Phase III</t>
        </is>
      </c>
      <c r="F41" s="9" t="inlineStr">
        <is>
          <t>Parathyroid hormone receptor 1 agonist</t>
        </is>
      </c>
      <c r="G41" s="9" t="inlineStr">
        <is>
          <t>Hypoparathyroidism</t>
        </is>
      </c>
      <c r="H41" s="9" t="inlineStr">
        <is>
          <t>2026-02-10</t>
        </is>
      </c>
      <c r="I41" s="9" t="inlineStr">
        <is>
          <t>https://www.astrazeneca.com/content/dam/az/Investor_Relations/annual-report-2025/pdf/AstraZeneca_Development_Pipeline_2025.pdf</t>
        </is>
      </c>
      <c r="J41" s="10" t="inlineStr"/>
    </row>
    <row r="42" ht="45" customHeight="1">
      <c r="A42" s="8" t="inlineStr">
        <is>
          <t>AstraZeneca</t>
        </is>
      </c>
      <c r="B42" s="9" t="inlineStr">
        <is>
          <t>Rare Disease</t>
        </is>
      </c>
      <c r="C42" s="9" t="inlineStr">
        <is>
          <t>Rare disease</t>
        </is>
      </c>
      <c r="D42" s="9" t="inlineStr">
        <is>
          <t>gefurulimab</t>
        </is>
      </c>
      <c r="E42" s="9" t="inlineStr">
        <is>
          <t>Phase III / registration</t>
        </is>
      </c>
      <c r="F42" s="9" t="inlineStr">
        <is>
          <t>Dual-binding anti-C5 nanobody</t>
        </is>
      </c>
      <c r="G42" s="9" t="inlineStr">
        <is>
          <t>Generalized myasthenia gravis</t>
        </is>
      </c>
      <c r="H42" s="9" t="inlineStr">
        <is>
          <t>2026-02-10</t>
        </is>
      </c>
      <c r="I42" s="9" t="inlineStr">
        <is>
          <t>https://www.astrazeneca.com/content/dam/az/Investor_Relations/annual-report-2025/pdf/AstraZeneca_Development_Pipeline_2025.pdf</t>
        </is>
      </c>
      <c r="J42" s="10" t="inlineStr"/>
    </row>
    <row r="43" ht="45" customHeight="1">
      <c r="A43" s="8" t="inlineStr">
        <is>
          <t>AstraZeneca</t>
        </is>
      </c>
      <c r="B43" s="9" t="inlineStr">
        <is>
          <t>Vaccines &amp; Immune Therapies</t>
        </is>
      </c>
      <c r="C43" s="9" t="inlineStr">
        <is>
          <t>Infectious disease</t>
        </is>
      </c>
      <c r="D43" s="9" t="inlineStr">
        <is>
          <t>AZD0292</t>
        </is>
      </c>
      <c r="E43" s="9" t="inlineStr">
        <is>
          <t>Phase II</t>
        </is>
      </c>
      <c r="F43" s="9" t="inlineStr">
        <is>
          <t>Pseudomonas Psl/PcrV bispecific antibody</t>
        </is>
      </c>
      <c r="G43" s="9" t="inlineStr">
        <is>
          <t>Bronchiectasis</t>
        </is>
      </c>
      <c r="H43" s="9" t="inlineStr">
        <is>
          <t>2026-02-10</t>
        </is>
      </c>
      <c r="I43" s="9" t="inlineStr">
        <is>
          <t>https://www.astrazeneca.com/content/dam/az/Investor_Relations/annual-report-2025/pdf/AstraZeneca_Development_Pipeline_2025.pdf</t>
        </is>
      </c>
      <c r="J43" s="10" t="inlineStr"/>
    </row>
    <row r="44" ht="45" customHeight="1">
      <c r="A44" s="8" t="inlineStr">
        <is>
          <t>AstraZeneca</t>
        </is>
      </c>
      <c r="B44" s="9" t="inlineStr">
        <is>
          <t>Vaccines &amp; Immune Therapies</t>
        </is>
      </c>
      <c r="C44" s="9" t="inlineStr">
        <is>
          <t>Infectious disease</t>
        </is>
      </c>
      <c r="D44" s="9" t="inlineStr">
        <is>
          <t>AZD5148</t>
        </is>
      </c>
      <c r="E44" s="9" t="inlineStr">
        <is>
          <t>Phase II</t>
        </is>
      </c>
      <c r="F44" s="9" t="inlineStr">
        <is>
          <t>C. difficile TcdB monoclonal antibody</t>
        </is>
      </c>
      <c r="G44" s="9" t="inlineStr">
        <is>
          <t>Reduction of C. difficile recurrence</t>
        </is>
      </c>
      <c r="H44" s="9" t="inlineStr">
        <is>
          <t>2026-02-10</t>
        </is>
      </c>
      <c r="I44" s="9" t="inlineStr">
        <is>
          <t>https://www.astrazeneca.com/content/dam/az/Investor_Relations/annual-report-2025/pdf/AstraZeneca_Development_Pipeline_2025.pdf</t>
        </is>
      </c>
      <c r="J44" s="10" t="inlineStr"/>
    </row>
    <row r="45" ht="45" customHeight="1">
      <c r="A45" s="8" t="inlineStr">
        <is>
          <t>AstraZeneca</t>
        </is>
      </c>
      <c r="B45" s="9" t="inlineStr">
        <is>
          <t>Vaccines &amp; Immune Therapies</t>
        </is>
      </c>
      <c r="C45" s="9" t="inlineStr">
        <is>
          <t>Infectious disease</t>
        </is>
      </c>
      <c r="D45" s="9" t="inlineStr">
        <is>
          <t>AZD7760</t>
        </is>
      </c>
      <c r="E45" s="9" t="inlineStr">
        <is>
          <t>Phase II</t>
        </is>
      </c>
      <c r="F45" s="9" t="inlineStr">
        <is>
          <t>Anti-virulence monoclonal antibody combination</t>
        </is>
      </c>
      <c r="G45" s="9" t="inlineStr">
        <is>
          <t>Prevention of Staphylococcus aureus infection</t>
        </is>
      </c>
      <c r="H45" s="9" t="inlineStr">
        <is>
          <t>2026-02-10</t>
        </is>
      </c>
      <c r="I45" s="9" t="inlineStr">
        <is>
          <t>https://www.astrazeneca.com/content/dam/az/Investor_Relations/annual-report-2025/pdf/AstraZeneca_Development_Pipeline_2025.pdf</t>
        </is>
      </c>
      <c r="J45" s="10" t="inlineStr"/>
    </row>
    <row r="46" ht="45" customHeight="1">
      <c r="A46" s="11" t="inlineStr">
        <is>
          <t>Bristol Myers Squibb</t>
        </is>
      </c>
      <c r="B46" s="9" t="inlineStr">
        <is>
          <t>Oncology</t>
        </is>
      </c>
      <c r="C46" s="9" t="inlineStr">
        <is>
          <t>Solid-tumor oncology</t>
        </is>
      </c>
      <c r="D46" s="9" t="inlineStr">
        <is>
          <t>pumitamig</t>
        </is>
      </c>
      <c r="E46" s="9" t="inlineStr">
        <is>
          <t>Phase III</t>
        </is>
      </c>
      <c r="F46" s="9" t="inlineStr">
        <is>
          <t>PD-L1 x VEGF-A bispecific antibody</t>
        </is>
      </c>
      <c r="G46" s="9" t="inlineStr">
        <is>
          <t>NSCLC, ES-SCLC, TNBC and other solid tumors</t>
        </is>
      </c>
      <c r="H46" s="9" t="inlineStr">
        <is>
          <t>2026-02-05</t>
        </is>
      </c>
      <c r="I46" s="9" t="inlineStr">
        <is>
          <t>https://annual-report.bms.com/assets/bms-ar/documents/2025/2025-bms-development-portfolio.pdf</t>
        </is>
      </c>
      <c r="J46" s="10" t="inlineStr">
        <is>
          <t>Multiple indications counted once under the lead asset.</t>
        </is>
      </c>
    </row>
    <row r="47" ht="45" customHeight="1">
      <c r="A47" s="11" t="inlineStr">
        <is>
          <t>Bristol Myers Squibb</t>
        </is>
      </c>
      <c r="B47" s="9" t="inlineStr">
        <is>
          <t>Oncology</t>
        </is>
      </c>
      <c r="C47" s="9" t="inlineStr">
        <is>
          <t>Solid-tumor oncology</t>
        </is>
      </c>
      <c r="D47" s="9" t="inlineStr">
        <is>
          <t>izalontamab brengitecan (iza-bren)</t>
        </is>
      </c>
      <c r="E47" s="9" t="inlineStr">
        <is>
          <t>Phase II</t>
        </is>
      </c>
      <c r="F47" s="9" t="inlineStr">
        <is>
          <t>EGFR x HER3 bispecific antibody-drug conjugate</t>
        </is>
      </c>
      <c r="G47" s="9" t="inlineStr">
        <is>
          <t>TNBC, EGFR-mutated NSCLC and urothelial cancer</t>
        </is>
      </c>
      <c r="H47" s="9" t="inlineStr">
        <is>
          <t>2026-02-05</t>
        </is>
      </c>
      <c r="I47" s="9" t="inlineStr">
        <is>
          <t>https://annual-report.bms.com/assets/bms-ar/documents/2025/2025-bms-development-portfolio.pdf</t>
        </is>
      </c>
      <c r="J47" s="10" t="inlineStr"/>
    </row>
    <row r="48" ht="45" customHeight="1">
      <c r="A48" s="11" t="inlineStr">
        <is>
          <t>Bristol Myers Squibb</t>
        </is>
      </c>
      <c r="B48" s="9" t="inlineStr">
        <is>
          <t>Oncology</t>
        </is>
      </c>
      <c r="C48" s="9" t="inlineStr">
        <is>
          <t>Solid-tumor oncology</t>
        </is>
      </c>
      <c r="D48" s="9" t="inlineStr">
        <is>
          <t>navlimetostat</t>
        </is>
      </c>
      <c r="E48" s="9" t="inlineStr">
        <is>
          <t>Phase II</t>
        </is>
      </c>
      <c r="F48" s="9" t="inlineStr">
        <is>
          <t>PRMT5 inhibitor</t>
        </is>
      </c>
      <c r="G48" s="9" t="inlineStr">
        <is>
          <t>NSCLC, pancreatic cancer and other solid tumors</t>
        </is>
      </c>
      <c r="H48" s="9" t="inlineStr">
        <is>
          <t>2026-02-05</t>
        </is>
      </c>
      <c r="I48" s="9" t="inlineStr">
        <is>
          <t>https://annual-report.bms.com/assets/bms-ar/documents/2025/2025-bms-development-portfolio.pdf</t>
        </is>
      </c>
      <c r="J48" s="10" t="inlineStr"/>
    </row>
    <row r="49" ht="45" customHeight="1">
      <c r="A49" s="11" t="inlineStr">
        <is>
          <t>Bristol Myers Squibb</t>
        </is>
      </c>
      <c r="B49" s="9" t="inlineStr">
        <is>
          <t>Oncology</t>
        </is>
      </c>
      <c r="C49" s="9" t="inlineStr">
        <is>
          <t>Solid-tumor oncology</t>
        </is>
      </c>
      <c r="D49" s="9" t="inlineStr">
        <is>
          <t>AR ligand-directed degrader</t>
        </is>
      </c>
      <c r="E49" s="9" t="inlineStr">
        <is>
          <t>Phase III</t>
        </is>
      </c>
      <c r="F49" s="9" t="inlineStr">
        <is>
          <t>Androgen receptor ligand-directed degrader</t>
        </is>
      </c>
      <c r="G49" s="9" t="inlineStr">
        <is>
          <t>Metastatic castration-resistant prostate cancer</t>
        </is>
      </c>
      <c r="H49" s="9" t="inlineStr">
        <is>
          <t>2026-02-05</t>
        </is>
      </c>
      <c r="I49" s="9" t="inlineStr">
        <is>
          <t>https://annual-report.bms.com/assets/bms-ar/documents/2025/2025-bms-development-portfolio.pdf</t>
        </is>
      </c>
      <c r="J49" s="10" t="inlineStr"/>
    </row>
    <row r="50" ht="45" customHeight="1">
      <c r="A50" s="11" t="inlineStr">
        <is>
          <t>Bristol Myers Squibb</t>
        </is>
      </c>
      <c r="B50" s="9" t="inlineStr">
        <is>
          <t>Oncology</t>
        </is>
      </c>
      <c r="C50" s="9" t="inlineStr">
        <is>
          <t>Solid-tumor oncology</t>
        </is>
      </c>
      <c r="D50" s="9" t="inlineStr">
        <is>
          <t>atigotatug + nivolumab</t>
        </is>
      </c>
      <c r="E50" s="9" t="inlineStr">
        <is>
          <t>Phase III</t>
        </is>
      </c>
      <c r="F50" s="9" t="inlineStr">
        <is>
          <t>Investigational immuno-oncology combination</t>
        </is>
      </c>
      <c r="G50" s="9" t="inlineStr">
        <is>
          <t>First-line extensive-stage small-cell lung cancer</t>
        </is>
      </c>
      <c r="H50" s="9" t="inlineStr">
        <is>
          <t>2026-02-05</t>
        </is>
      </c>
      <c r="I50" s="9" t="inlineStr">
        <is>
          <t>https://annual-report.bms.com/assets/bms-ar/documents/2025/2025-bms-development-portfolio.pdf</t>
        </is>
      </c>
      <c r="J50" s="10" t="inlineStr"/>
    </row>
    <row r="51" ht="45" customHeight="1">
      <c r="A51" s="11" t="inlineStr">
        <is>
          <t>Bristol Myers Squibb</t>
        </is>
      </c>
      <c r="B51" s="9" t="inlineStr">
        <is>
          <t>Oncology</t>
        </is>
      </c>
      <c r="C51" s="9" t="inlineStr">
        <is>
          <t>Solid-tumor oncology</t>
        </is>
      </c>
      <c r="D51" s="9" t="inlineStr">
        <is>
          <t>nivolumab + relatlimab HD</t>
        </is>
      </c>
      <c r="E51" s="9" t="inlineStr">
        <is>
          <t>Phase III</t>
        </is>
      </c>
      <c r="F51" s="9" t="inlineStr">
        <is>
          <t>PD-1 plus LAG-3 immuno-oncology combination</t>
        </is>
      </c>
      <c r="G51" s="9" t="inlineStr">
        <is>
          <t>First-line NSCLC with PD-L1 &gt;=1%</t>
        </is>
      </c>
      <c r="H51" s="9" t="inlineStr">
        <is>
          <t>2026-02-05</t>
        </is>
      </c>
      <c r="I51" s="9" t="inlineStr">
        <is>
          <t>https://annual-report.bms.com/assets/bms-ar/documents/2025/2025-bms-development-portfolio.pdf</t>
        </is>
      </c>
      <c r="J51" s="10" t="inlineStr"/>
    </row>
    <row r="52" ht="45" customHeight="1">
      <c r="A52" s="11" t="inlineStr">
        <is>
          <t>Bristol Myers Squibb</t>
        </is>
      </c>
      <c r="B52" s="9" t="inlineStr">
        <is>
          <t>Oncology</t>
        </is>
      </c>
      <c r="C52" s="9" t="inlineStr">
        <is>
          <t>Solid-tumor oncology</t>
        </is>
      </c>
      <c r="D52" s="9" t="inlineStr">
        <is>
          <t>RYZ101</t>
        </is>
      </c>
      <c r="E52" s="9" t="inlineStr">
        <is>
          <t>Phase III</t>
        </is>
      </c>
      <c r="F52" s="9" t="inlineStr">
        <is>
          <t>SSTR2-targeted radiopharmaceutical</t>
        </is>
      </c>
      <c r="G52" s="9" t="inlineStr">
        <is>
          <t>SSTR2-positive gastroenteropancreatic neuroendocrine tumors</t>
        </is>
      </c>
      <c r="H52" s="9" t="inlineStr">
        <is>
          <t>2026-02-05</t>
        </is>
      </c>
      <c r="I52" s="9" t="inlineStr">
        <is>
          <t>https://annual-report.bms.com/assets/bms-ar/documents/2025/2025-bms-development-portfolio.pdf</t>
        </is>
      </c>
      <c r="J52" s="10" t="inlineStr"/>
    </row>
    <row r="53" ht="45" customHeight="1">
      <c r="A53" s="11" t="inlineStr">
        <is>
          <t>Bristol Myers Squibb</t>
        </is>
      </c>
      <c r="B53" s="9" t="inlineStr">
        <is>
          <t>Hematology</t>
        </is>
      </c>
      <c r="C53" s="9" t="inlineStr">
        <is>
          <t>Hematology</t>
        </is>
      </c>
      <c r="D53" s="9" t="inlineStr">
        <is>
          <t>arlo-cel</t>
        </is>
      </c>
      <c r="E53" s="9" t="inlineStr">
        <is>
          <t>Phase III</t>
        </is>
      </c>
      <c r="F53" s="9" t="inlineStr">
        <is>
          <t>GPRC5D-directed autologous CAR-T</t>
        </is>
      </c>
      <c r="G53" s="9" t="inlineStr">
        <is>
          <t>Multiple myeloma</t>
        </is>
      </c>
      <c r="H53" s="9" t="inlineStr">
        <is>
          <t>2026-02-05</t>
        </is>
      </c>
      <c r="I53" s="9" t="inlineStr">
        <is>
          <t>https://annual-report.bms.com/assets/bms-ar/documents/2025/2025-bms-development-portfolio.pdf</t>
        </is>
      </c>
      <c r="J53" s="10" t="inlineStr"/>
    </row>
    <row r="54" ht="45" customHeight="1">
      <c r="A54" s="11" t="inlineStr">
        <is>
          <t>Bristol Myers Squibb</t>
        </is>
      </c>
      <c r="B54" s="9" t="inlineStr">
        <is>
          <t>Hematology</t>
        </is>
      </c>
      <c r="C54" s="9" t="inlineStr">
        <is>
          <t>Hematology</t>
        </is>
      </c>
      <c r="D54" s="9" t="inlineStr">
        <is>
          <t>golcadomide</t>
        </is>
      </c>
      <c r="E54" s="9" t="inlineStr">
        <is>
          <t>Phase III</t>
        </is>
      </c>
      <c r="F54" s="9" t="inlineStr">
        <is>
          <t>CELMoD / targeted protein degradation</t>
        </is>
      </c>
      <c r="G54" s="9" t="inlineStr">
        <is>
          <t>Follicular lymphoma and high-risk large B-cell lymphoma</t>
        </is>
      </c>
      <c r="H54" s="9" t="inlineStr">
        <is>
          <t>2026-02-05</t>
        </is>
      </c>
      <c r="I54" s="9" t="inlineStr">
        <is>
          <t>https://annual-report.bms.com/assets/bms-ar/documents/2025/2025-bms-development-portfolio.pdf</t>
        </is>
      </c>
      <c r="J54" s="10" t="inlineStr"/>
    </row>
    <row r="55" ht="45" customHeight="1">
      <c r="A55" s="11" t="inlineStr">
        <is>
          <t>Bristol Myers Squibb</t>
        </is>
      </c>
      <c r="B55" s="9" t="inlineStr">
        <is>
          <t>Hematology</t>
        </is>
      </c>
      <c r="C55" s="9" t="inlineStr">
        <is>
          <t>Hematology</t>
        </is>
      </c>
      <c r="D55" s="9" t="inlineStr">
        <is>
          <t>iberdomide</t>
        </is>
      </c>
      <c r="E55" s="9" t="inlineStr">
        <is>
          <t>Phase III</t>
        </is>
      </c>
      <c r="F55" s="9" t="inlineStr">
        <is>
          <t>CELMoD / targeted protein degradation</t>
        </is>
      </c>
      <c r="G55" s="9" t="inlineStr">
        <is>
          <t>Multiple myeloma</t>
        </is>
      </c>
      <c r="H55" s="9" t="inlineStr">
        <is>
          <t>2026-02-05</t>
        </is>
      </c>
      <c r="I55" s="9" t="inlineStr">
        <is>
          <t>https://annual-report.bms.com/assets/bms-ar/documents/2025/2025-bms-development-portfolio.pdf</t>
        </is>
      </c>
      <c r="J55" s="10" t="inlineStr"/>
    </row>
    <row r="56" ht="45" customHeight="1">
      <c r="A56" s="11" t="inlineStr">
        <is>
          <t>Bristol Myers Squibb</t>
        </is>
      </c>
      <c r="B56" s="9" t="inlineStr">
        <is>
          <t>Hematology</t>
        </is>
      </c>
      <c r="C56" s="9" t="inlineStr">
        <is>
          <t>Hematology</t>
        </is>
      </c>
      <c r="D56" s="9" t="inlineStr">
        <is>
          <t>mezigdomide</t>
        </is>
      </c>
      <c r="E56" s="9" t="inlineStr">
        <is>
          <t>Phase III / registration</t>
        </is>
      </c>
      <c r="F56" s="9" t="inlineStr">
        <is>
          <t>CELMoD / targeted protein degradation</t>
        </is>
      </c>
      <c r="G56" s="9" t="inlineStr">
        <is>
          <t>Relapsed/refractory multiple myeloma</t>
        </is>
      </c>
      <c r="H56" s="9" t="inlineStr">
        <is>
          <t>2026-02-05</t>
        </is>
      </c>
      <c r="I56" s="9" t="inlineStr">
        <is>
          <t>https://annual-report.bms.com/assets/bms-ar/documents/2025/2025-bms-development-portfolio.pdf</t>
        </is>
      </c>
      <c r="J56" s="10" t="inlineStr"/>
    </row>
    <row r="57" ht="45" customHeight="1">
      <c r="A57" s="11" t="inlineStr">
        <is>
          <t>Bristol Myers Squibb</t>
        </is>
      </c>
      <c r="B57" s="9" t="inlineStr">
        <is>
          <t>Immunology</t>
        </is>
      </c>
      <c r="C57" s="9" t="inlineStr">
        <is>
          <t>Immunology, respiratory &amp; fibrosis</t>
        </is>
      </c>
      <c r="D57" s="9" t="inlineStr">
        <is>
          <t>zola-cel (CD19 NEX-T)</t>
        </is>
      </c>
      <c r="E57" s="9" t="inlineStr">
        <is>
          <t>Phase III</t>
        </is>
      </c>
      <c r="F57" s="9" t="inlineStr">
        <is>
          <t>CD19-directed CAR-T cell therapy</t>
        </is>
      </c>
      <c r="G57" s="9" t="inlineStr">
        <is>
          <t>Systemic lupus erythematosus and systemic sclerosis</t>
        </is>
      </c>
      <c r="H57" s="9" t="inlineStr">
        <is>
          <t>2026-02-05</t>
        </is>
      </c>
      <c r="I57" s="9" t="inlineStr">
        <is>
          <t>https://annual-report.bms.com/assets/bms-ar/documents/2025/2025-bms-development-portfolio.pdf</t>
        </is>
      </c>
      <c r="J57" s="10" t="inlineStr"/>
    </row>
    <row r="58" ht="45" customHeight="1">
      <c r="A58" s="11" t="inlineStr">
        <is>
          <t>Bristol Myers Squibb</t>
        </is>
      </c>
      <c r="B58" s="9" t="inlineStr">
        <is>
          <t>Immunology</t>
        </is>
      </c>
      <c r="C58" s="9" t="inlineStr">
        <is>
          <t>Immunology, respiratory &amp; fibrosis</t>
        </is>
      </c>
      <c r="D58" s="9" t="inlineStr">
        <is>
          <t>admilparant</t>
        </is>
      </c>
      <c r="E58" s="9" t="inlineStr">
        <is>
          <t>Phase III</t>
        </is>
      </c>
      <c r="F58" s="9" t="inlineStr">
        <is>
          <t>Oral LPA1 antagonist</t>
        </is>
      </c>
      <c r="G58" s="9" t="inlineStr">
        <is>
          <t>Idiopathic and progressive pulmonary fibrosis</t>
        </is>
      </c>
      <c r="H58" s="9" t="inlineStr">
        <is>
          <t>2026-02-05</t>
        </is>
      </c>
      <c r="I58" s="9" t="inlineStr">
        <is>
          <t>https://annual-report.bms.com/assets/bms-ar/documents/2025/2025-bms-development-portfolio.pdf</t>
        </is>
      </c>
      <c r="J58" s="10" t="inlineStr"/>
    </row>
    <row r="59" ht="45" customHeight="1">
      <c r="A59" s="11" t="inlineStr">
        <is>
          <t>Bristol Myers Squibb</t>
        </is>
      </c>
      <c r="B59" s="9" t="inlineStr">
        <is>
          <t>Immunology</t>
        </is>
      </c>
      <c r="C59" s="9" t="inlineStr">
        <is>
          <t>Immunology, respiratory &amp; fibrosis</t>
        </is>
      </c>
      <c r="D59" s="9" t="inlineStr">
        <is>
          <t>obexelimab</t>
        </is>
      </c>
      <c r="E59" s="9" t="inlineStr">
        <is>
          <t>Phase III</t>
        </is>
      </c>
      <c r="F59" s="9" t="inlineStr">
        <is>
          <t>B-cell-directed monoclonal antibody</t>
        </is>
      </c>
      <c r="G59" s="9" t="inlineStr">
        <is>
          <t>IgG4-related disease</t>
        </is>
      </c>
      <c r="H59" s="9" t="inlineStr">
        <is>
          <t>2026-02-05</t>
        </is>
      </c>
      <c r="I59" s="9" t="inlineStr">
        <is>
          <t>https://annual-report.bms.com/assets/bms-ar/documents/2025/2025-bms-development-portfolio.pdf</t>
        </is>
      </c>
      <c r="J59" s="10" t="inlineStr"/>
    </row>
    <row r="60" ht="45" customHeight="1">
      <c r="A60" s="11" t="inlineStr">
        <is>
          <t>Bristol Myers Squibb</t>
        </is>
      </c>
      <c r="B60" s="9" t="inlineStr">
        <is>
          <t>Cardiovascular</t>
        </is>
      </c>
      <c r="C60" s="9" t="inlineStr">
        <is>
          <t>Cardiovascular</t>
        </is>
      </c>
      <c r="D60" s="9" t="inlineStr">
        <is>
          <t>MYK-224</t>
        </is>
      </c>
      <c r="E60" s="9" t="inlineStr">
        <is>
          <t>Phase II</t>
        </is>
      </c>
      <c r="F60" s="9" t="inlineStr">
        <is>
          <t>Cardiac myosin inhibitor</t>
        </is>
      </c>
      <c r="G60" s="9" t="inlineStr">
        <is>
          <t>Heart failure with preserved ejection fraction</t>
        </is>
      </c>
      <c r="H60" s="9" t="inlineStr">
        <is>
          <t>2026-02-05</t>
        </is>
      </c>
      <c r="I60" s="9" t="inlineStr">
        <is>
          <t>https://annual-report.bms.com/assets/bms-ar/documents/2025/2025-bms-development-portfolio.pdf</t>
        </is>
      </c>
      <c r="J60" s="10" t="inlineStr"/>
    </row>
    <row r="61" ht="45" customHeight="1">
      <c r="A61" s="11" t="inlineStr">
        <is>
          <t>Bristol Myers Squibb</t>
        </is>
      </c>
      <c r="B61" s="9" t="inlineStr">
        <is>
          <t>Cardiovascular</t>
        </is>
      </c>
      <c r="C61" s="9" t="inlineStr">
        <is>
          <t>Cardiovascular</t>
        </is>
      </c>
      <c r="D61" s="9" t="inlineStr">
        <is>
          <t>milvexian</t>
        </is>
      </c>
      <c r="E61" s="9" t="inlineStr">
        <is>
          <t>Phase III</t>
        </is>
      </c>
      <c r="F61" s="9" t="inlineStr">
        <is>
          <t>Factor XIa inhibitor</t>
        </is>
      </c>
      <c r="G61" s="9" t="inlineStr">
        <is>
          <t>Atrial fibrillation and secondary stroke prevention</t>
        </is>
      </c>
      <c r="H61" s="9" t="inlineStr">
        <is>
          <t>2026-02-05</t>
        </is>
      </c>
      <c r="I61" s="9" t="inlineStr">
        <is>
          <t>https://annual-report.bms.com/assets/bms-ar/documents/2025/2025-bms-development-portfolio.pdf</t>
        </is>
      </c>
      <c r="J61" s="10" t="inlineStr"/>
    </row>
    <row r="62" ht="45" customHeight="1">
      <c r="A62" s="11" t="inlineStr">
        <is>
          <t>Bristol Myers Squibb</t>
        </is>
      </c>
      <c r="B62" s="9" t="inlineStr">
        <is>
          <t>Neuroscience</t>
        </is>
      </c>
      <c r="C62" s="9" t="inlineStr">
        <is>
          <t>Neuroscience</t>
        </is>
      </c>
      <c r="D62" s="9" t="inlineStr">
        <is>
          <t>anti-MTBR tau</t>
        </is>
      </c>
      <c r="E62" s="9" t="inlineStr">
        <is>
          <t>Phase II</t>
        </is>
      </c>
      <c r="F62" s="9" t="inlineStr">
        <is>
          <t>Tau-targeting monoclonal antibody</t>
        </is>
      </c>
      <c r="G62" s="9" t="inlineStr">
        <is>
          <t>Alzheimer's disease</t>
        </is>
      </c>
      <c r="H62" s="9" t="inlineStr">
        <is>
          <t>2026-02-05</t>
        </is>
      </c>
      <c r="I62" s="9" t="inlineStr">
        <is>
          <t>https://annual-report.bms.com/assets/bms-ar/documents/2025/2025-bms-development-portfolio.pdf</t>
        </is>
      </c>
      <c r="J62" s="10" t="inlineStr"/>
    </row>
    <row r="63" ht="45" customHeight="1">
      <c r="A63" s="11" t="inlineStr">
        <is>
          <t>Bristol Myers Squibb</t>
        </is>
      </c>
      <c r="B63" s="9" t="inlineStr">
        <is>
          <t>Neuroscience</t>
        </is>
      </c>
      <c r="C63" s="9" t="inlineStr">
        <is>
          <t>Neuroscience</t>
        </is>
      </c>
      <c r="D63" s="9" t="inlineStr">
        <is>
          <t>FAAH/MAGL dual inhibitor</t>
        </is>
      </c>
      <c r="E63" s="9" t="inlineStr">
        <is>
          <t>Phase II</t>
        </is>
      </c>
      <c r="F63" s="9" t="inlineStr">
        <is>
          <t>Small-molecule dual enzyme inhibitor</t>
        </is>
      </c>
      <c r="G63" s="9" t="inlineStr">
        <is>
          <t>Alzheimer's disease agitation and multiple-sclerosis spasticity</t>
        </is>
      </c>
      <c r="H63" s="9" t="inlineStr">
        <is>
          <t>2026-02-05</t>
        </is>
      </c>
      <c r="I63" s="9" t="inlineStr">
        <is>
          <t>https://annual-report.bms.com/assets/bms-ar/documents/2025/2025-bms-development-portfolio.pdf</t>
        </is>
      </c>
      <c r="J63" s="10" t="inlineStr"/>
    </row>
  </sheetData>
  <autoFilter ref="A1:J63"/>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sheetPr>
  <dimension ref="A1:I27"/>
  <sheetViews>
    <sheetView showGridLines="0" workbookViewId="0">
      <pane ySplit="4" topLeftCell="A5" activePane="bottomLeft" state="frozen"/>
      <selection pane="bottomLeft" activeCell="A1" sqref="A1"/>
    </sheetView>
  </sheetViews>
  <sheetFormatPr baseColWidth="8" defaultRowHeight="15"/>
  <cols>
    <col width="31" customWidth="1" min="1" max="1"/>
    <col width="27" customWidth="1" min="2" max="2"/>
    <col width="31" customWidth="1" min="3" max="3"/>
    <col width="48" customWidth="1" min="4" max="4"/>
    <col width="50" customWidth="1" min="5" max="5"/>
    <col width="16" customWidth="1" min="6" max="6"/>
    <col width="64" customWidth="1" min="7" max="7"/>
    <col width="45" customWidth="1" min="8" max="8"/>
    <col width="45" customWidth="1" min="9" max="9"/>
  </cols>
  <sheetData>
    <row r="1" ht="32" customHeight="1">
      <c r="A1" s="25" t="inlineStr">
        <is>
          <t>AZ + BMS overlap units - evidence behind bubble counts</t>
        </is>
      </c>
    </row>
    <row r="2" ht="34" customHeight="1">
      <c r="A2" s="26" t="inlineStr">
        <is>
          <t>One row equals one distinct shared territory/class. Bubble counts are formula-driven from this table. Directness is an analyst-coded input: 1 limited, 2 moderate, 3 strong.</t>
        </is>
      </c>
    </row>
    <row r="4" ht="40" customHeight="1">
      <c r="A4" s="27" t="inlineStr">
        <is>
          <t>Disease area</t>
        </is>
      </c>
      <c r="B4" s="27" t="inlineStr">
        <is>
          <t>Factor</t>
        </is>
      </c>
      <c r="C4" s="27" t="inlineStr">
        <is>
          <t>Overlap unit</t>
        </is>
      </c>
      <c r="D4" s="27" t="inlineStr">
        <is>
          <t>AZ evidence / programs</t>
        </is>
      </c>
      <c r="E4" s="27" t="inlineStr">
        <is>
          <t>BMS evidence / programs</t>
        </is>
      </c>
      <c r="F4" s="27" t="inlineStr">
        <is>
          <t>Directness (1-3)</t>
        </is>
      </c>
      <c r="G4" s="27" t="inlineStr">
        <is>
          <t>Rationale</t>
        </is>
      </c>
      <c r="H4" s="27" t="inlineStr">
        <is>
          <t>AZ source URL</t>
        </is>
      </c>
      <c r="I4" s="27" t="inlineStr">
        <is>
          <t>BMS source URL</t>
        </is>
      </c>
    </row>
    <row r="5" ht="62" customHeight="1">
      <c r="A5" s="28" t="inlineStr">
        <is>
          <t>Solid-tumor oncology</t>
        </is>
      </c>
      <c r="B5" s="28" t="inlineStr">
        <is>
          <t>Shared indications</t>
        </is>
      </c>
      <c r="C5" s="28" t="inlineStr">
        <is>
          <t>NSCLC</t>
        </is>
      </c>
      <c r="D5" s="28" t="inlineStr">
        <is>
          <t>IPH5201; rilvegostomig; volrustomig</t>
        </is>
      </c>
      <c r="E5" s="28" t="inlineStr">
        <is>
          <t>pumitamig; iza-bren; navlimetostat; nivolumab + relatlimab HD</t>
        </is>
      </c>
      <c r="F5" s="29" t="n">
        <v>3</v>
      </c>
      <c r="G5" s="28" t="inlineStr">
        <is>
          <t>Multiple programs from both companies are being developed in NSCLC, creating direct disease-level overlap.</t>
        </is>
      </c>
      <c r="H5" s="28" t="inlineStr">
        <is>
          <t>https://www.astrazeneca.com/content/dam/az/Investor_Relations/annual-report-2025/pdf/AstraZeneca_Development_Pipeline_2025.pdf</t>
        </is>
      </c>
      <c r="I5" s="28" t="inlineStr">
        <is>
          <t>https://www.bms.com/assets/bms/us/en-us/pdf/investor-info/doc_presentations/2026/bms-pipeline-february-2026.pdf</t>
        </is>
      </c>
    </row>
    <row r="6" ht="62" customHeight="1">
      <c r="A6" s="28" t="inlineStr">
        <is>
          <t>Solid-tumor oncology</t>
        </is>
      </c>
      <c r="B6" s="28" t="inlineStr">
        <is>
          <t>Shared indications</t>
        </is>
      </c>
      <c r="C6" s="28" t="inlineStr">
        <is>
          <t>Prostate cancer</t>
        </is>
      </c>
      <c r="D6" s="28" t="inlineStr">
        <is>
          <t>FPI-2265; saruparib</t>
        </is>
      </c>
      <c r="E6" s="28" t="inlineStr">
        <is>
          <t>AR ligand-directed degrader</t>
        </is>
      </c>
      <c r="F6" s="29" t="n">
        <v>3</v>
      </c>
      <c r="G6" s="28" t="inlineStr">
        <is>
          <t>Both companies have late-stage prostate-cancer programs, although targets and modalities differ.</t>
        </is>
      </c>
      <c r="H6" s="28" t="inlineStr">
        <is>
          <t>https://www.astrazeneca.com/content/dam/az/Investor_Relations/annual-report-2025/pdf/AstraZeneca_Development_Pipeline_2025.pdf</t>
        </is>
      </c>
      <c r="I6" s="28" t="inlineStr">
        <is>
          <t>https://www.bms.com/assets/bms/us/en-us/pdf/investor-info/doc_presentations/2026/bms-pipeline-february-2026.pdf</t>
        </is>
      </c>
    </row>
    <row r="7" ht="62" customHeight="1">
      <c r="A7" s="28" t="inlineStr">
        <is>
          <t>Solid-tumor oncology</t>
        </is>
      </c>
      <c r="B7" s="28" t="inlineStr">
        <is>
          <t>Shared modalities</t>
        </is>
      </c>
      <c r="C7" s="28" t="inlineStr">
        <is>
          <t>Small-molecule targeted therapy</t>
        </is>
      </c>
      <c r="D7" s="28" t="inlineStr">
        <is>
          <t>AZD9574; camizestrant; saruparib</t>
        </is>
      </c>
      <c r="E7" s="28" t="inlineStr">
        <is>
          <t>navlimetostat; AR ligand-directed degrader</t>
        </is>
      </c>
      <c r="F7" s="30" t="n">
        <v>2</v>
      </c>
      <c r="G7" s="28" t="inlineStr">
        <is>
          <t>Both use oral/small-molecule targeted approaches in solid tumors.</t>
        </is>
      </c>
      <c r="H7" s="28" t="inlineStr">
        <is>
          <t>https://www.astrazeneca.com/content/dam/az/Investor_Relations/annual-report-2025/pdf/AstraZeneca_Development_Pipeline_2025.pdf</t>
        </is>
      </c>
      <c r="I7" s="28" t="inlineStr">
        <is>
          <t>https://www.bms.com/assets/bms/us/en-us/pdf/investor-info/doc_presentations/2026/bms-pipeline-february-2026.pdf</t>
        </is>
      </c>
    </row>
    <row r="8" ht="62" customHeight="1">
      <c r="A8" s="28" t="inlineStr">
        <is>
          <t>Solid-tumor oncology</t>
        </is>
      </c>
      <c r="B8" s="28" t="inlineStr">
        <is>
          <t>Shared modalities</t>
        </is>
      </c>
      <c r="C8" s="28" t="inlineStr">
        <is>
          <t>Bispecific / dual-target biologics</t>
        </is>
      </c>
      <c r="D8" s="28" t="inlineStr">
        <is>
          <t>rilvegostomig; volrustomig</t>
        </is>
      </c>
      <c r="E8" s="28" t="inlineStr">
        <is>
          <t>pumitamig</t>
        </is>
      </c>
      <c r="F8" s="29" t="n">
        <v>3</v>
      </c>
      <c r="G8" s="28" t="inlineStr">
        <is>
          <t>Both have late-stage dual-target immuno-oncology biologics.</t>
        </is>
      </c>
      <c r="H8" s="28" t="inlineStr">
        <is>
          <t>https://www.astrazeneca.com/content/dam/az/Investor_Relations/annual-report-2025/pdf/AstraZeneca_Development_Pipeline_2025.pdf</t>
        </is>
      </c>
      <c r="I8" s="28" t="inlineStr">
        <is>
          <t>https://www.bms.com/assets/bms/us/en-us/pdf/investor-info/doc_presentations/2026/bms-pipeline-february-2026.pdf</t>
        </is>
      </c>
    </row>
    <row r="9" ht="62" customHeight="1">
      <c r="A9" s="28" t="inlineStr">
        <is>
          <t>Solid-tumor oncology</t>
        </is>
      </c>
      <c r="B9" s="28" t="inlineStr">
        <is>
          <t>Shared modalities</t>
        </is>
      </c>
      <c r="C9" s="28" t="inlineStr">
        <is>
          <t>Antibody-drug conjugates</t>
        </is>
      </c>
      <c r="D9" s="28" t="inlineStr">
        <is>
          <t>puxitatug samrotecan; sonesitatug vedotin; tilatamig samrotecan; torvutatug samrotecan</t>
        </is>
      </c>
      <c r="E9" s="28" t="inlineStr">
        <is>
          <t>izalontamab brengitecan</t>
        </is>
      </c>
      <c r="F9" s="29" t="n">
        <v>3</v>
      </c>
      <c r="G9" s="28" t="inlineStr">
        <is>
          <t>Both have substantial ADC activity, with AstraZeneca contributing greater breadth.</t>
        </is>
      </c>
      <c r="H9" s="28" t="inlineStr">
        <is>
          <t>https://www.astrazeneca.com/content/dam/az/Investor_Relations/annual-report-2025/pdf/AstraZeneca_Development_Pipeline_2025.pdf</t>
        </is>
      </c>
      <c r="I9" s="28" t="inlineStr">
        <is>
          <t>https://www.bms.com/assets/bms/us/en-us/pdf/investor-info/doc_presentations/2026/bms-pipeline-february-2026.pdf</t>
        </is>
      </c>
    </row>
    <row r="10" ht="62" customHeight="1">
      <c r="A10" s="28" t="inlineStr">
        <is>
          <t>Solid-tumor oncology</t>
        </is>
      </c>
      <c r="B10" s="28" t="inlineStr">
        <is>
          <t>Shared modalities</t>
        </is>
      </c>
      <c r="C10" s="28" t="inlineStr">
        <is>
          <t>Radiopharmaceuticals</t>
        </is>
      </c>
      <c r="D10" s="28" t="inlineStr">
        <is>
          <t>FPI-2265</t>
        </is>
      </c>
      <c r="E10" s="28" t="inlineStr">
        <is>
          <t>RYZ101</t>
        </is>
      </c>
      <c r="F10" s="30" t="n">
        <v>2</v>
      </c>
      <c r="G10" s="28" t="inlineStr">
        <is>
          <t>Both have targeted radiopharmaceutical programs, but in different tumor types and targets.</t>
        </is>
      </c>
      <c r="H10" s="28" t="inlineStr">
        <is>
          <t>https://www.astrazeneca.com/content/dam/az/Investor_Relations/annual-report-2025/pdf/AstraZeneca_Development_Pipeline_2025.pdf</t>
        </is>
      </c>
      <c r="I10" s="28" t="inlineStr">
        <is>
          <t>https://www.bms.com/assets/bms/us/en-us/pdf/investor-info/doc_presentations/2026/bms-pipeline-february-2026.pdf</t>
        </is>
      </c>
    </row>
    <row r="11" ht="62" customHeight="1">
      <c r="A11" s="28" t="inlineStr">
        <is>
          <t>Solid-tumor oncology</t>
        </is>
      </c>
      <c r="B11" s="28" t="inlineStr">
        <is>
          <t>Shared target / mechanism</t>
        </is>
      </c>
      <c r="C11" s="28" t="inlineStr">
        <is>
          <t>PD-(L)1-based immuno-oncology</t>
        </is>
      </c>
      <c r="D11" s="28" t="inlineStr">
        <is>
          <t>rilvegostomig; volrustomig</t>
        </is>
      </c>
      <c r="E11" s="28" t="inlineStr">
        <is>
          <t>pumitamig; nivolumab + relatlimab HD; atigotatug + nivolumab</t>
        </is>
      </c>
      <c r="F11" s="29" t="n">
        <v>3</v>
      </c>
      <c r="G11" s="28" t="inlineStr">
        <is>
          <t>Both portfolios use PD-1/PD-L1-centered combinations or multispecific approaches.</t>
        </is>
      </c>
      <c r="H11" s="28" t="inlineStr">
        <is>
          <t>https://www.astrazeneca.com/content/dam/az/Investor_Relations/annual-report-2025/pdf/AstraZeneca_Development_Pipeline_2025.pdf</t>
        </is>
      </c>
      <c r="I11" s="28" t="inlineStr">
        <is>
          <t>https://www.bms.com/assets/bms/us/en-us/pdf/investor-info/doc_presentations/2026/bms-pipeline-february-2026.pdf</t>
        </is>
      </c>
    </row>
    <row r="12" ht="62" customHeight="1">
      <c r="A12" s="28" t="inlineStr">
        <is>
          <t>Solid-tumor oncology</t>
        </is>
      </c>
      <c r="B12" s="28" t="inlineStr">
        <is>
          <t>Shared target / mechanism</t>
        </is>
      </c>
      <c r="C12" s="28" t="inlineStr">
        <is>
          <t>EGFR-directed therapeutics</t>
        </is>
      </c>
      <c r="D12" s="28" t="inlineStr">
        <is>
          <t>tilatamig samrotecan</t>
        </is>
      </c>
      <c r="E12" s="28" t="inlineStr">
        <is>
          <t>izalontamab brengitecan</t>
        </is>
      </c>
      <c r="F12" s="30" t="n">
        <v>2</v>
      </c>
      <c r="G12" s="28" t="inlineStr">
        <is>
          <t>Both have EGFR-directed ADC programs, paired with different second targets.</t>
        </is>
      </c>
      <c r="H12" s="28" t="inlineStr">
        <is>
          <t>https://www.astrazeneca.com/content/dam/az/Investor_Relations/annual-report-2025/pdf/AstraZeneca_Development_Pipeline_2025.pdf</t>
        </is>
      </c>
      <c r="I12" s="28" t="inlineStr">
        <is>
          <t>https://www.bms.com/assets/bms/us/en-us/pdf/investor-info/doc_presentations/2026/bms-pipeline-february-2026.pdf</t>
        </is>
      </c>
    </row>
    <row r="13" ht="62" customHeight="1">
      <c r="A13" s="28" t="inlineStr">
        <is>
          <t>Solid-tumor oncology</t>
        </is>
      </c>
      <c r="B13" s="28" t="inlineStr">
        <is>
          <t>Stage alignment</t>
        </is>
      </c>
      <c r="C13" s="28" t="inlineStr">
        <is>
          <t>Phase II</t>
        </is>
      </c>
      <c r="D13" s="28" t="inlineStr">
        <is>
          <t>AZD9574; FPI-2265; IPH5201; tilatamig samrotecan</t>
        </is>
      </c>
      <c r="E13" s="28" t="inlineStr">
        <is>
          <t>iza-bren; navlimetostat</t>
        </is>
      </c>
      <c r="F13" s="30" t="n">
        <v>2</v>
      </c>
      <c r="G13" s="28" t="inlineStr">
        <is>
          <t>Both companies have Phase II programs in the disease area.</t>
        </is>
      </c>
      <c r="H13" s="28" t="inlineStr">
        <is>
          <t>https://www.astrazeneca.com/content/dam/az/Investor_Relations/annual-report-2025/pdf/AstraZeneca_Development_Pipeline_2025.pdf</t>
        </is>
      </c>
      <c r="I13" s="28" t="inlineStr">
        <is>
          <t>https://www.bms.com/assets/bms/us/en-us/pdf/investor-info/doc_presentations/2026/bms-pipeline-february-2026.pdf</t>
        </is>
      </c>
    </row>
    <row r="14" ht="62" customHeight="1">
      <c r="A14" s="28" t="inlineStr">
        <is>
          <t>Solid-tumor oncology</t>
        </is>
      </c>
      <c r="B14" s="28" t="inlineStr">
        <is>
          <t>Stage alignment</t>
        </is>
      </c>
      <c r="C14" s="28" t="inlineStr">
        <is>
          <t>Phase III / registration</t>
        </is>
      </c>
      <c r="D14" s="28" t="inlineStr">
        <is>
          <t>camizestrant; puxitatug samrotecan; rilvegostomig; saruparib; sonesitatug vedotin; torvutatug samrotecan; volrustomig</t>
        </is>
      </c>
      <c r="E14" s="28" t="inlineStr">
        <is>
          <t>pumitamig; AR ligand-directed degrader; atigotatug + nivolumab; nivolumab + relatlimab HD; RYZ101</t>
        </is>
      </c>
      <c r="F14" s="29" t="n">
        <v>3</v>
      </c>
      <c r="G14" s="28" t="inlineStr">
        <is>
          <t>Both have broad Phase III/registration portfolios in solid tumors.</t>
        </is>
      </c>
      <c r="H14" s="28" t="inlineStr">
        <is>
          <t>https://www.astrazeneca.com/content/dam/az/Investor_Relations/annual-report-2025/pdf/AstraZeneca_Development_Pipeline_2025.pdf</t>
        </is>
      </c>
      <c r="I14" s="28" t="inlineStr">
        <is>
          <t>https://www.bms.com/assets/bms/us/en-us/pdf/investor-info/doc_presentations/2026/bms-pipeline-february-2026.pdf</t>
        </is>
      </c>
    </row>
    <row r="15" ht="62" customHeight="1">
      <c r="A15" s="28" t="inlineStr">
        <is>
          <t>Hematology</t>
        </is>
      </c>
      <c r="B15" s="28" t="inlineStr">
        <is>
          <t>Shared indications</t>
        </is>
      </c>
      <c r="C15" s="28" t="inlineStr">
        <is>
          <t>Multiple myeloma</t>
        </is>
      </c>
      <c r="D15" s="28" t="inlineStr">
        <is>
          <t>AZD0120; AZD0305</t>
        </is>
      </c>
      <c r="E15" s="28" t="inlineStr">
        <is>
          <t>arlo-cel; iberdomide; mezigdomide</t>
        </is>
      </c>
      <c r="F15" s="29" t="n">
        <v>3</v>
      </c>
      <c r="G15" s="28" t="inlineStr">
        <is>
          <t>Both companies have multiple late-stage programs in multiple myeloma.</t>
        </is>
      </c>
      <c r="H15" s="28" t="inlineStr">
        <is>
          <t>https://www.astrazeneca.com/content/dam/az/Investor_Relations/annual-report-2025/pdf/AstraZeneca_Development_Pipeline_2025.pdf</t>
        </is>
      </c>
      <c r="I15" s="28" t="inlineStr">
        <is>
          <t>https://www.bms.com/assets/bms/us/en-us/pdf/investor-info/doc_presentations/2026/bms-pipeline-february-2026.pdf</t>
        </is>
      </c>
    </row>
    <row r="16" ht="62" customHeight="1">
      <c r="A16" s="28" t="inlineStr">
        <is>
          <t>Hematology</t>
        </is>
      </c>
      <c r="B16" s="28" t="inlineStr">
        <is>
          <t>Shared indications</t>
        </is>
      </c>
      <c r="C16" s="28" t="inlineStr">
        <is>
          <t>B-cell lymphoma</t>
        </is>
      </c>
      <c r="D16" s="28" t="inlineStr">
        <is>
          <t>surovatamig</t>
        </is>
      </c>
      <c r="E16" s="28" t="inlineStr">
        <is>
          <t>golcadomide</t>
        </is>
      </c>
      <c r="F16" s="29" t="n">
        <v>3</v>
      </c>
      <c r="G16" s="28" t="inlineStr">
        <is>
          <t>Both have Phase III programs in B-cell lymphoma territories.</t>
        </is>
      </c>
      <c r="H16" s="28" t="inlineStr">
        <is>
          <t>https://www.astrazeneca.com/content/dam/az/Investor_Relations/annual-report-2025/pdf/AstraZeneca_Development_Pipeline_2025.pdf</t>
        </is>
      </c>
      <c r="I16" s="28" t="inlineStr">
        <is>
          <t>https://www.bms.com/assets/bms/us/en-us/pdf/investor-info/doc_presentations/2026/bms-pipeline-february-2026.pdf</t>
        </is>
      </c>
    </row>
    <row r="17" ht="62" customHeight="1">
      <c r="A17" s="28" t="inlineStr">
        <is>
          <t>Hematology</t>
        </is>
      </c>
      <c r="B17" s="28" t="inlineStr">
        <is>
          <t>Shared modalities</t>
        </is>
      </c>
      <c r="C17" s="28" t="inlineStr">
        <is>
          <t>Cell therapy / CAR-T</t>
        </is>
      </c>
      <c r="D17" s="28" t="inlineStr">
        <is>
          <t>AZD0120</t>
        </is>
      </c>
      <c r="E17" s="28" t="inlineStr">
        <is>
          <t>arlo-cel</t>
        </is>
      </c>
      <c r="F17" s="29" t="n">
        <v>3</v>
      </c>
      <c r="G17" s="28" t="inlineStr">
        <is>
          <t>Both have autologous CAR-T programs in multiple myeloma, with different target configurations.</t>
        </is>
      </c>
      <c r="H17" s="28" t="inlineStr">
        <is>
          <t>https://www.astrazeneca.com/content/dam/az/Investor_Relations/annual-report-2025/pdf/AstraZeneca_Development_Pipeline_2025.pdf</t>
        </is>
      </c>
      <c r="I17" s="28" t="inlineStr">
        <is>
          <t>https://www.bms.com/assets/bms/us/en-us/pdf/investor-info/doc_presentations/2026/bms-pipeline-february-2026.pdf</t>
        </is>
      </c>
    </row>
    <row r="18" ht="62" customHeight="1">
      <c r="A18" s="28" t="inlineStr">
        <is>
          <t>Hematology</t>
        </is>
      </c>
      <c r="B18" s="28" t="inlineStr">
        <is>
          <t>Shared modalities</t>
        </is>
      </c>
      <c r="C18" s="28" t="inlineStr">
        <is>
          <t>Small-molecule targeted therapy</t>
        </is>
      </c>
      <c r="D18" s="28" t="inlineStr">
        <is>
          <t>AZD3470</t>
        </is>
      </c>
      <c r="E18" s="28" t="inlineStr">
        <is>
          <t>golcadomide; iberdomide; mezigdomide</t>
        </is>
      </c>
      <c r="F18" s="30" t="n">
        <v>2</v>
      </c>
      <c r="G18" s="28" t="inlineStr">
        <is>
          <t>Both use small-molecule targeted approaches, but mechanisms and disease emphasis differ.</t>
        </is>
      </c>
      <c r="H18" s="28" t="inlineStr">
        <is>
          <t>https://www.astrazeneca.com/content/dam/az/Investor_Relations/annual-report-2025/pdf/AstraZeneca_Development_Pipeline_2025.pdf</t>
        </is>
      </c>
      <c r="I18" s="28" t="inlineStr">
        <is>
          <t>https://www.bms.com/assets/bms/us/en-us/pdf/investor-info/doc_presentations/2026/bms-pipeline-february-2026.pdf</t>
        </is>
      </c>
    </row>
    <row r="19" ht="62" customHeight="1">
      <c r="A19" s="28" t="inlineStr">
        <is>
          <t>Hematology</t>
        </is>
      </c>
      <c r="B19" s="28" t="inlineStr">
        <is>
          <t>Shared target / mechanism</t>
        </is>
      </c>
      <c r="C19" s="28" t="inlineStr">
        <is>
          <t>GPRC5D</t>
        </is>
      </c>
      <c r="D19" s="28" t="inlineStr">
        <is>
          <t>AZD0305</t>
        </is>
      </c>
      <c r="E19" s="28" t="inlineStr">
        <is>
          <t>arlo-cel</t>
        </is>
      </c>
      <c r="F19" s="29" t="n">
        <v>3</v>
      </c>
      <c r="G19" s="28" t="inlineStr">
        <is>
          <t>This is the clearest exact target overlap: an ADC versus CAR-T directed to GPRC5D.</t>
        </is>
      </c>
      <c r="H19" s="28" t="inlineStr">
        <is>
          <t>https://www.astrazeneca.com/content/dam/az/Investor_Relations/annual-report-2025/pdf/AstraZeneca_Development_Pipeline_2025.pdf</t>
        </is>
      </c>
      <c r="I19" s="28" t="inlineStr">
        <is>
          <t>https://www.bms.com/assets/bms/us/en-us/pdf/investor-info/doc_presentations/2026/bms-pipeline-february-2026.pdf</t>
        </is>
      </c>
    </row>
    <row r="20" ht="62" customHeight="1">
      <c r="A20" s="28" t="inlineStr">
        <is>
          <t>Hematology</t>
        </is>
      </c>
      <c r="B20" s="28" t="inlineStr">
        <is>
          <t>Stage alignment</t>
        </is>
      </c>
      <c r="C20" s="28" t="inlineStr">
        <is>
          <t>Phase III / registration</t>
        </is>
      </c>
      <c r="D20" s="28" t="inlineStr">
        <is>
          <t>surovatamig</t>
        </is>
      </c>
      <c r="E20" s="28" t="inlineStr">
        <is>
          <t>arlo-cel; golcadomide; iberdomide; mezigdomide</t>
        </is>
      </c>
      <c r="F20" s="30" t="n">
        <v>2</v>
      </c>
      <c r="G20" s="28" t="inlineStr">
        <is>
          <t>Both have Phase III/registration programs, though BMS is more concentrated at this stage.</t>
        </is>
      </c>
      <c r="H20" s="28" t="inlineStr">
        <is>
          <t>https://www.astrazeneca.com/content/dam/az/Investor_Relations/annual-report-2025/pdf/AstraZeneca_Development_Pipeline_2025.pdf</t>
        </is>
      </c>
      <c r="I20" s="28" t="inlineStr">
        <is>
          <t>https://www.bms.com/assets/bms/us/en-us/pdf/investor-info/doc_presentations/2026/bms-pipeline-february-2026.pdf</t>
        </is>
      </c>
    </row>
    <row r="21" ht="62" customHeight="1">
      <c r="A21" s="28" t="inlineStr">
        <is>
          <t>Immunology, respiratory &amp; fibrosis</t>
        </is>
      </c>
      <c r="B21" s="28" t="inlineStr">
        <is>
          <t>Shared modalities</t>
        </is>
      </c>
      <c r="C21" s="28" t="inlineStr">
        <is>
          <t>Small-molecule therapy</t>
        </is>
      </c>
      <c r="D21" s="28" t="inlineStr">
        <is>
          <t>atuliflapon; AZD4604; AZD6793</t>
        </is>
      </c>
      <c r="E21" s="28" t="inlineStr">
        <is>
          <t>admilparant</t>
        </is>
      </c>
      <c r="F21" s="31" t="n">
        <v>1</v>
      </c>
      <c r="G21" s="28" t="inlineStr">
        <is>
          <t>Both use small molecules, but the diseases and mechanisms are largely different.</t>
        </is>
      </c>
      <c r="H21" s="28" t="inlineStr">
        <is>
          <t>https://www.astrazeneca.com/content/dam/az/Investor_Relations/annual-report-2025/pdf/AstraZeneca_Development_Pipeline_2025.pdf</t>
        </is>
      </c>
      <c r="I21" s="28" t="inlineStr">
        <is>
          <t>https://www.bms.com/assets/bms/us/en-us/pdf/investor-info/doc_presentations/2026/bms-pipeline-february-2026.pdf</t>
        </is>
      </c>
    </row>
    <row r="22" ht="62" customHeight="1">
      <c r="A22" s="28" t="inlineStr">
        <is>
          <t>Immunology, respiratory &amp; fibrosis</t>
        </is>
      </c>
      <c r="B22" s="28" t="inlineStr">
        <is>
          <t>Shared modalities</t>
        </is>
      </c>
      <c r="C22" s="28" t="inlineStr">
        <is>
          <t>Monoclonal antibodies / biologics</t>
        </is>
      </c>
      <c r="D22" s="28" t="inlineStr">
        <is>
          <t>AZD1163; AZD7798; AZD8630; tozorakimab</t>
        </is>
      </c>
      <c r="E22" s="28" t="inlineStr">
        <is>
          <t>obexelimab</t>
        </is>
      </c>
      <c r="F22" s="31" t="n">
        <v>1</v>
      </c>
      <c r="G22" s="28" t="inlineStr">
        <is>
          <t>Both have biologics, but with different disease and target focus.</t>
        </is>
      </c>
      <c r="H22" s="28" t="inlineStr">
        <is>
          <t>https://www.astrazeneca.com/content/dam/az/Investor_Relations/annual-report-2025/pdf/AstraZeneca_Development_Pipeline_2025.pdf</t>
        </is>
      </c>
      <c r="I22" s="28" t="inlineStr">
        <is>
          <t>https://www.bms.com/assets/bms/us/en-us/pdf/investor-info/doc_presentations/2026/bms-pipeline-february-2026.pdf</t>
        </is>
      </c>
    </row>
    <row r="23" ht="62" customHeight="1">
      <c r="A23" s="28" t="inlineStr">
        <is>
          <t>Immunology, respiratory &amp; fibrosis</t>
        </is>
      </c>
      <c r="B23" s="28" t="inlineStr">
        <is>
          <t>Stage alignment</t>
        </is>
      </c>
      <c r="C23" s="28" t="inlineStr">
        <is>
          <t>Phase III / registration</t>
        </is>
      </c>
      <c r="D23" s="28" t="inlineStr">
        <is>
          <t>tozorakimab</t>
        </is>
      </c>
      <c r="E23" s="28" t="inlineStr">
        <is>
          <t>zola-cel; admilparant; obexelimab</t>
        </is>
      </c>
      <c r="F23" s="31" t="n">
        <v>1</v>
      </c>
      <c r="G23" s="28" t="inlineStr">
        <is>
          <t>Both have Phase III programs, without a clear same-indication collision.</t>
        </is>
      </c>
      <c r="H23" s="28" t="inlineStr">
        <is>
          <t>https://www.astrazeneca.com/content/dam/az/Investor_Relations/annual-report-2025/pdf/AstraZeneca_Development_Pipeline_2025.pdf</t>
        </is>
      </c>
      <c r="I23" s="28" t="inlineStr">
        <is>
          <t>https://www.bms.com/assets/bms/us/en-us/pdf/investor-info/doc_presentations/2026/bms-pipeline-february-2026.pdf</t>
        </is>
      </c>
    </row>
    <row r="24" ht="62" customHeight="1">
      <c r="A24" s="28" t="inlineStr">
        <is>
          <t>Cardiovascular</t>
        </is>
      </c>
      <c r="B24" s="28" t="inlineStr">
        <is>
          <t>Shared indications</t>
        </is>
      </c>
      <c r="C24" s="28" t="inlineStr">
        <is>
          <t>Heart failure</t>
        </is>
      </c>
      <c r="D24" s="28" t="inlineStr">
        <is>
          <t>AZD5462</t>
        </is>
      </c>
      <c r="E24" s="28" t="inlineStr">
        <is>
          <t>MYK-224</t>
        </is>
      </c>
      <c r="F24" s="30" t="n">
        <v>2</v>
      </c>
      <c r="G24" s="28" t="inlineStr">
        <is>
          <t>Both have Phase II heart-failure programs, with different mechanisms.</t>
        </is>
      </c>
      <c r="H24" s="28" t="inlineStr">
        <is>
          <t>https://www.astrazeneca.com/content/dam/az/Investor_Relations/annual-report-2025/pdf/AstraZeneca_Development_Pipeline_2025.pdf</t>
        </is>
      </c>
      <c r="I24" s="28" t="inlineStr">
        <is>
          <t>https://www.bms.com/assets/bms/us/en-us/pdf/investor-info/doc_presentations/2026/bms-pipeline-february-2026.pdf</t>
        </is>
      </c>
    </row>
    <row r="25" ht="62" customHeight="1">
      <c r="A25" s="28" t="inlineStr">
        <is>
          <t>Cardiovascular</t>
        </is>
      </c>
      <c r="B25" s="28" t="inlineStr">
        <is>
          <t>Shared modalities</t>
        </is>
      </c>
      <c r="C25" s="28" t="inlineStr">
        <is>
          <t>Small-molecule therapy</t>
        </is>
      </c>
      <c r="D25" s="28" t="inlineStr">
        <is>
          <t>AZD5462; baxdrostat; laroprovstat</t>
        </is>
      </c>
      <c r="E25" s="28" t="inlineStr">
        <is>
          <t>MYK-224; milvexian</t>
        </is>
      </c>
      <c r="F25" s="31" t="n">
        <v>1</v>
      </c>
      <c r="G25" s="28" t="inlineStr">
        <is>
          <t>Both portfolios are primarily small-molecule programs, but disease and target overlap is limited.</t>
        </is>
      </c>
      <c r="H25" s="28" t="inlineStr">
        <is>
          <t>https://www.astrazeneca.com/content/dam/az/Investor_Relations/annual-report-2025/pdf/AstraZeneca_Development_Pipeline_2025.pdf</t>
        </is>
      </c>
      <c r="I25" s="28" t="inlineStr">
        <is>
          <t>https://www.bms.com/assets/bms/us/en-us/pdf/investor-info/doc_presentations/2026/bms-pipeline-february-2026.pdf</t>
        </is>
      </c>
    </row>
    <row r="26" ht="62" customHeight="1">
      <c r="A26" s="28" t="inlineStr">
        <is>
          <t>Cardiovascular</t>
        </is>
      </c>
      <c r="B26" s="28" t="inlineStr">
        <is>
          <t>Stage alignment</t>
        </is>
      </c>
      <c r="C26" s="28" t="inlineStr">
        <is>
          <t>Phase II</t>
        </is>
      </c>
      <c r="D26" s="28" t="inlineStr">
        <is>
          <t>AZD5462</t>
        </is>
      </c>
      <c r="E26" s="28" t="inlineStr">
        <is>
          <t>MYK-224</t>
        </is>
      </c>
      <c r="F26" s="30" t="n">
        <v>2</v>
      </c>
      <c r="G26" s="28" t="inlineStr">
        <is>
          <t>The heart-failure programs are both in Phase II.</t>
        </is>
      </c>
      <c r="H26" s="28" t="inlineStr">
        <is>
          <t>https://www.astrazeneca.com/content/dam/az/Investor_Relations/annual-report-2025/pdf/AstraZeneca_Development_Pipeline_2025.pdf</t>
        </is>
      </c>
      <c r="I26" s="28" t="inlineStr">
        <is>
          <t>https://www.bms.com/assets/bms/us/en-us/pdf/investor-info/doc_presentations/2026/bms-pipeline-february-2026.pdf</t>
        </is>
      </c>
    </row>
    <row r="27" ht="62" customHeight="1">
      <c r="A27" s="28" t="inlineStr">
        <is>
          <t>Cardiovascular</t>
        </is>
      </c>
      <c r="B27" s="28" t="inlineStr">
        <is>
          <t>Stage alignment</t>
        </is>
      </c>
      <c r="C27" s="28" t="inlineStr">
        <is>
          <t>Phase III / registration</t>
        </is>
      </c>
      <c r="D27" s="28" t="inlineStr">
        <is>
          <t>baxdrostat; laroprovstat</t>
        </is>
      </c>
      <c r="E27" s="28" t="inlineStr">
        <is>
          <t>milvexian</t>
        </is>
      </c>
      <c r="F27" s="31" t="n">
        <v>1</v>
      </c>
      <c r="G27" s="28" t="inlineStr">
        <is>
          <t>Both have Phase III programs, but in different cardiovascular indications.</t>
        </is>
      </c>
      <c r="H27" s="28" t="inlineStr">
        <is>
          <t>https://www.astrazeneca.com/content/dam/az/Investor_Relations/annual-report-2025/pdf/AstraZeneca_Development_Pipeline_2025.pdf</t>
        </is>
      </c>
      <c r="I27" s="28" t="inlineStr">
        <is>
          <t>https://www.bms.com/assets/bms/us/en-us/pdf/investor-info/doc_presentations/2026/bms-pipeline-february-2026.pdf</t>
        </is>
      </c>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5"/>
  <sheetViews>
    <sheetView showGridLines="0" workbookViewId="0">
      <pane ySplit="4" topLeftCell="A5" activePane="bottomLeft" state="frozen"/>
      <selection pane="bottomLeft" activeCell="A1" sqref="A1"/>
    </sheetView>
  </sheetViews>
  <sheetFormatPr baseColWidth="8" defaultRowHeight="15"/>
  <cols>
    <col width="32" customWidth="1" min="1" max="1"/>
    <col width="25" customWidth="1" min="2" max="2"/>
    <col width="11" customWidth="1" min="3" max="3"/>
    <col width="12" customWidth="1" min="4" max="4"/>
    <col width="13" customWidth="1" min="5" max="5"/>
    <col width="16" customWidth="1" min="6" max="6"/>
    <col width="16" customWidth="1" min="7" max="7"/>
    <col width="16" customWidth="1" min="8" max="8"/>
    <col width="16" customWidth="1" min="9" max="9"/>
    <col width="24" customWidth="1" min="10" max="10"/>
    <col width="16" customWidth="1" min="11" max="11"/>
    <col width="15" customWidth="1" min="12" max="12"/>
    <col width="15" customWidth="1" min="13" max="13"/>
    <col width="20" customWidth="1" min="14" max="14"/>
  </cols>
  <sheetData>
    <row r="1" ht="34" customHeight="1">
      <c r="A1" s="32" t="inlineStr">
        <is>
          <t>AstraZeneca + BMS: count-based portfolio collision matrix</t>
        </is>
      </c>
    </row>
    <row r="2" ht="34" customHeight="1">
      <c r="A2" s="26" t="inlineStr">
        <is>
          <t>Counts represent distinct shared territories/classes and are calculated from Overlap_Units. Intensity is the maximum directness score among the units in each cell. Portfolio balance has been removed.</t>
        </is>
      </c>
    </row>
    <row r="4" ht="45" customHeight="1">
      <c r="A4" s="27" t="inlineStr">
        <is>
          <t>Disease area</t>
        </is>
      </c>
      <c r="B4" s="27" t="inlineStr">
        <is>
          <t>Plot label</t>
        </is>
      </c>
      <c r="C4" s="27" t="inlineStr">
        <is>
          <t>AZ programs</t>
        </is>
      </c>
      <c r="D4" s="27" t="inlineStr">
        <is>
          <t>BMS programs</t>
        </is>
      </c>
      <c r="E4" s="27" t="inlineStr">
        <is>
          <t>Combined programs</t>
        </is>
      </c>
      <c r="F4" s="27" t="inlineStr">
        <is>
          <t>Shared indications</t>
        </is>
      </c>
      <c r="G4" s="27" t="inlineStr">
        <is>
          <t>Indication intensity</t>
        </is>
      </c>
      <c r="H4" s="27" t="inlineStr">
        <is>
          <t>Shared modalities</t>
        </is>
      </c>
      <c r="I4" s="27" t="inlineStr">
        <is>
          <t>Modality intensity</t>
        </is>
      </c>
      <c r="J4" s="27" t="inlineStr">
        <is>
          <t>Shared target / mechanism</t>
        </is>
      </c>
      <c r="K4" s="27" t="inlineStr">
        <is>
          <t>Target intensity</t>
        </is>
      </c>
      <c r="L4" s="27" t="inlineStr">
        <is>
          <t>Stage alignment</t>
        </is>
      </c>
      <c r="M4" s="27" t="inlineStr">
        <is>
          <t>Stage intensity</t>
        </is>
      </c>
      <c r="N4" s="27" t="inlineStr">
        <is>
          <t>Strategic read</t>
        </is>
      </c>
    </row>
    <row r="5" ht="48" customHeight="1">
      <c r="A5" s="33" t="inlineStr">
        <is>
          <t>Solid-tumor oncology</t>
        </is>
      </c>
      <c r="B5" s="33" t="inlineStr">
        <is>
          <t>Solid tumors</t>
        </is>
      </c>
      <c r="C5" s="34">
        <f>COUNTIFS(Asset_Data!$A:$A,"AstraZeneca",Asset_Data!$C:$C,$A5)</f>
        <v/>
      </c>
      <c r="D5" s="34">
        <f>COUNTIFS(Asset_Data!$A:$A,"Bristol Myers Squibb",Asset_Data!$C:$C,$A5)</f>
        <v/>
      </c>
      <c r="E5" s="34">
        <f>SUM(C5:D5)</f>
        <v/>
      </c>
      <c r="F5" s="35">
        <f>COUNTIFS(Overlap_Units!$A:$A,$A5,Overlap_Units!$B:$B,F4)</f>
        <v/>
      </c>
      <c r="G5" s="34">
        <f>IF(F5=0,0,MAXIFS(Overlap_Units!$F:$F,Overlap_Units!$A:$A,$A5,Overlap_Units!$B:$B,F4))</f>
        <v/>
      </c>
      <c r="H5" s="35">
        <f>COUNTIFS(Overlap_Units!$A:$A,$A5,Overlap_Units!$B:$B,H4)</f>
        <v/>
      </c>
      <c r="I5" s="34">
        <f>IF(H5=0,0,MAXIFS(Overlap_Units!$F:$F,Overlap_Units!$A:$A,$A5,Overlap_Units!$B:$B,H4))</f>
        <v/>
      </c>
      <c r="J5" s="35">
        <f>COUNTIFS(Overlap_Units!$A:$A,$A5,Overlap_Units!$B:$B,J4)</f>
        <v/>
      </c>
      <c r="K5" s="34">
        <f>IF(J5=0,0,MAXIFS(Overlap_Units!$F:$F,Overlap_Units!$A:$A,$A5,Overlap_Units!$B:$B,J4))</f>
        <v/>
      </c>
      <c r="L5" s="35">
        <f>COUNTIFS(Overlap_Units!$A:$A,$A5,Overlap_Units!$B:$B,L4)</f>
        <v/>
      </c>
      <c r="M5" s="34">
        <f>IF(L5=0,0,MAXIFS(Overlap_Units!$F:$F,Overlap_Units!$A:$A,$A5,Overlap_Units!$B:$B,L4))</f>
        <v/>
      </c>
      <c r="N5" s="33" t="inlineStr">
        <is>
          <t>Strong collision</t>
        </is>
      </c>
    </row>
    <row r="6" ht="48" customHeight="1">
      <c r="A6" s="33" t="inlineStr">
        <is>
          <t>Hematology</t>
        </is>
      </c>
      <c r="B6" s="33" t="inlineStr">
        <is>
          <t>Hematology</t>
        </is>
      </c>
      <c r="C6" s="34">
        <f>COUNTIFS(Asset_Data!$A:$A,"AstraZeneca",Asset_Data!$C:$C,$A6)</f>
        <v/>
      </c>
      <c r="D6" s="34">
        <f>COUNTIFS(Asset_Data!$A:$A,"Bristol Myers Squibb",Asset_Data!$C:$C,$A6)</f>
        <v/>
      </c>
      <c r="E6" s="34">
        <f>SUM(C6:D6)</f>
        <v/>
      </c>
      <c r="F6" s="35">
        <f>COUNTIFS(Overlap_Units!$A:$A,$A6,Overlap_Units!$B:$B,F4)</f>
        <v/>
      </c>
      <c r="G6" s="34">
        <f>IF(F6=0,0,MAXIFS(Overlap_Units!$F:$F,Overlap_Units!$A:$A,$A6,Overlap_Units!$B:$B,F4))</f>
        <v/>
      </c>
      <c r="H6" s="35">
        <f>COUNTIFS(Overlap_Units!$A:$A,$A6,Overlap_Units!$B:$B,H4)</f>
        <v/>
      </c>
      <c r="I6" s="34">
        <f>IF(H6=0,0,MAXIFS(Overlap_Units!$F:$F,Overlap_Units!$A:$A,$A6,Overlap_Units!$B:$B,H4))</f>
        <v/>
      </c>
      <c r="J6" s="35">
        <f>COUNTIFS(Overlap_Units!$A:$A,$A6,Overlap_Units!$B:$B,J4)</f>
        <v/>
      </c>
      <c r="K6" s="34">
        <f>IF(J6=0,0,MAXIFS(Overlap_Units!$F:$F,Overlap_Units!$A:$A,$A6,Overlap_Units!$B:$B,J4))</f>
        <v/>
      </c>
      <c r="L6" s="35">
        <f>COUNTIFS(Overlap_Units!$A:$A,$A6,Overlap_Units!$B:$B,L4)</f>
        <v/>
      </c>
      <c r="M6" s="34">
        <f>IF(L6=0,0,MAXIFS(Overlap_Units!$F:$F,Overlap_Units!$A:$A,$A6,Overlap_Units!$B:$B,L4))</f>
        <v/>
      </c>
      <c r="N6" s="33" t="inlineStr">
        <is>
          <t>Strong collision</t>
        </is>
      </c>
    </row>
    <row r="7" ht="48" customHeight="1">
      <c r="A7" s="33" t="inlineStr">
        <is>
          <t>Immunology, respiratory &amp; fibrosis</t>
        </is>
      </c>
      <c r="B7" s="33" t="inlineStr">
        <is>
          <t>Immunology / resp. / fibrosis</t>
        </is>
      </c>
      <c r="C7" s="34">
        <f>COUNTIFS(Asset_Data!$A:$A,"AstraZeneca",Asset_Data!$C:$C,$A7)</f>
        <v/>
      </c>
      <c r="D7" s="34">
        <f>COUNTIFS(Asset_Data!$A:$A,"Bristol Myers Squibb",Asset_Data!$C:$C,$A7)</f>
        <v/>
      </c>
      <c r="E7" s="34">
        <f>SUM(C7:D7)</f>
        <v/>
      </c>
      <c r="F7" s="35">
        <f>COUNTIFS(Overlap_Units!$A:$A,$A7,Overlap_Units!$B:$B,F4)</f>
        <v/>
      </c>
      <c r="G7" s="34">
        <f>IF(F7=0,0,MAXIFS(Overlap_Units!$F:$F,Overlap_Units!$A:$A,$A7,Overlap_Units!$B:$B,F4))</f>
        <v/>
      </c>
      <c r="H7" s="35">
        <f>COUNTIFS(Overlap_Units!$A:$A,$A7,Overlap_Units!$B:$B,H4)</f>
        <v/>
      </c>
      <c r="I7" s="34">
        <f>IF(H7=0,0,MAXIFS(Overlap_Units!$F:$F,Overlap_Units!$A:$A,$A7,Overlap_Units!$B:$B,H4))</f>
        <v/>
      </c>
      <c r="J7" s="35">
        <f>COUNTIFS(Overlap_Units!$A:$A,$A7,Overlap_Units!$B:$B,J4)</f>
        <v/>
      </c>
      <c r="K7" s="34">
        <f>IF(J7=0,0,MAXIFS(Overlap_Units!$F:$F,Overlap_Units!$A:$A,$A7,Overlap_Units!$B:$B,J4))</f>
        <v/>
      </c>
      <c r="L7" s="35">
        <f>COUNTIFS(Overlap_Units!$A:$A,$A7,Overlap_Units!$B:$B,L4)</f>
        <v/>
      </c>
      <c r="M7" s="34">
        <f>IF(L7=0,0,MAXIFS(Overlap_Units!$F:$F,Overlap_Units!$A:$A,$A7,Overlap_Units!$B:$B,L4))</f>
        <v/>
      </c>
      <c r="N7" s="33" t="inlineStr">
        <is>
          <t>Platform adjacency</t>
        </is>
      </c>
    </row>
    <row r="8" ht="48" customHeight="1">
      <c r="A8" s="33" t="inlineStr">
        <is>
          <t>Cardiovascular</t>
        </is>
      </c>
      <c r="B8" s="33" t="inlineStr">
        <is>
          <t>CV</t>
        </is>
      </c>
      <c r="C8" s="34">
        <f>COUNTIFS(Asset_Data!$A:$A,"AstraZeneca",Asset_Data!$C:$C,$A8)</f>
        <v/>
      </c>
      <c r="D8" s="34">
        <f>COUNTIFS(Asset_Data!$A:$A,"Bristol Myers Squibb",Asset_Data!$C:$C,$A8)</f>
        <v/>
      </c>
      <c r="E8" s="34">
        <f>SUM(C8:D8)</f>
        <v/>
      </c>
      <c r="F8" s="35">
        <f>COUNTIFS(Overlap_Units!$A:$A,$A8,Overlap_Units!$B:$B,F4)</f>
        <v/>
      </c>
      <c r="G8" s="34">
        <f>IF(F8=0,0,MAXIFS(Overlap_Units!$F:$F,Overlap_Units!$A:$A,$A8,Overlap_Units!$B:$B,F4))</f>
        <v/>
      </c>
      <c r="H8" s="35">
        <f>COUNTIFS(Overlap_Units!$A:$A,$A8,Overlap_Units!$B:$B,H4)</f>
        <v/>
      </c>
      <c r="I8" s="34">
        <f>IF(H8=0,0,MAXIFS(Overlap_Units!$F:$F,Overlap_Units!$A:$A,$A8,Overlap_Units!$B:$B,H4))</f>
        <v/>
      </c>
      <c r="J8" s="35">
        <f>COUNTIFS(Overlap_Units!$A:$A,$A8,Overlap_Units!$B:$B,J4)</f>
        <v/>
      </c>
      <c r="K8" s="34">
        <f>IF(J8=0,0,MAXIFS(Overlap_Units!$F:$F,Overlap_Units!$A:$A,$A8,Overlap_Units!$B:$B,J4))</f>
        <v/>
      </c>
      <c r="L8" s="35">
        <f>COUNTIFS(Overlap_Units!$A:$A,$A8,Overlap_Units!$B:$B,L4)</f>
        <v/>
      </c>
      <c r="M8" s="34">
        <f>IF(L8=0,0,MAXIFS(Overlap_Units!$F:$F,Overlap_Units!$A:$A,$A8,Overlap_Units!$B:$B,L4))</f>
        <v/>
      </c>
      <c r="N8" s="33" t="inlineStr">
        <is>
          <t>Narrow adjacency</t>
        </is>
      </c>
    </row>
    <row r="9" ht="48" customHeight="1">
      <c r="A9" s="33" t="inlineStr">
        <is>
          <t>Rare disease</t>
        </is>
      </c>
      <c r="B9" s="33" t="inlineStr">
        <is>
          <t>Rare disease</t>
        </is>
      </c>
      <c r="C9" s="34">
        <f>COUNTIFS(Asset_Data!$A:$A,"AstraZeneca",Asset_Data!$C:$C,$A9)</f>
        <v/>
      </c>
      <c r="D9" s="34">
        <f>COUNTIFS(Asset_Data!$A:$A,"Bristol Myers Squibb",Asset_Data!$C:$C,$A9)</f>
        <v/>
      </c>
      <c r="E9" s="34">
        <f>SUM(C9:D9)</f>
        <v/>
      </c>
      <c r="F9" s="35">
        <f>COUNTIFS(Overlap_Units!$A:$A,$A9,Overlap_Units!$B:$B,F4)</f>
        <v/>
      </c>
      <c r="G9" s="34">
        <f>IF(F9=0,0,MAXIFS(Overlap_Units!$F:$F,Overlap_Units!$A:$A,$A9,Overlap_Units!$B:$B,F4))</f>
        <v/>
      </c>
      <c r="H9" s="35">
        <f>COUNTIFS(Overlap_Units!$A:$A,$A9,Overlap_Units!$B:$B,H4)</f>
        <v/>
      </c>
      <c r="I9" s="34">
        <f>IF(H9=0,0,MAXIFS(Overlap_Units!$F:$F,Overlap_Units!$A:$A,$A9,Overlap_Units!$B:$B,H4))</f>
        <v/>
      </c>
      <c r="J9" s="35">
        <f>COUNTIFS(Overlap_Units!$A:$A,$A9,Overlap_Units!$B:$B,J4)</f>
        <v/>
      </c>
      <c r="K9" s="34">
        <f>IF(J9=0,0,MAXIFS(Overlap_Units!$F:$F,Overlap_Units!$A:$A,$A9,Overlap_Units!$B:$B,J4))</f>
        <v/>
      </c>
      <c r="L9" s="35">
        <f>COUNTIFS(Overlap_Units!$A:$A,$A9,Overlap_Units!$B:$B,L4)</f>
        <v/>
      </c>
      <c r="M9" s="34">
        <f>IF(L9=0,0,MAXIFS(Overlap_Units!$F:$F,Overlap_Units!$A:$A,$A9,Overlap_Units!$B:$B,L4))</f>
        <v/>
      </c>
      <c r="N9" s="33" t="inlineStr">
        <is>
          <t>AZ-led fit</t>
        </is>
      </c>
    </row>
    <row r="10" ht="48" customHeight="1">
      <c r="A10" s="33" t="inlineStr">
        <is>
          <t>Renal &amp; metabolic</t>
        </is>
      </c>
      <c r="B10" s="33" t="inlineStr">
        <is>
          <t>Renal / metabolic</t>
        </is>
      </c>
      <c r="C10" s="34">
        <f>COUNTIFS(Asset_Data!$A:$A,"AstraZeneca",Asset_Data!$C:$C,$A10)</f>
        <v/>
      </c>
      <c r="D10" s="34">
        <f>COUNTIFS(Asset_Data!$A:$A,"Bristol Myers Squibb",Asset_Data!$C:$C,$A10)</f>
        <v/>
      </c>
      <c r="E10" s="34">
        <f>SUM(C10:D10)</f>
        <v/>
      </c>
      <c r="F10" s="35">
        <f>COUNTIFS(Overlap_Units!$A:$A,$A10,Overlap_Units!$B:$B,F4)</f>
        <v/>
      </c>
      <c r="G10" s="34">
        <f>IF(F10=0,0,MAXIFS(Overlap_Units!$F:$F,Overlap_Units!$A:$A,$A10,Overlap_Units!$B:$B,F4))</f>
        <v/>
      </c>
      <c r="H10" s="35">
        <f>COUNTIFS(Overlap_Units!$A:$A,$A10,Overlap_Units!$B:$B,H4)</f>
        <v/>
      </c>
      <c r="I10" s="34">
        <f>IF(H10=0,0,MAXIFS(Overlap_Units!$F:$F,Overlap_Units!$A:$A,$A10,Overlap_Units!$B:$B,H4))</f>
        <v/>
      </c>
      <c r="J10" s="35">
        <f>COUNTIFS(Overlap_Units!$A:$A,$A10,Overlap_Units!$B:$B,J4)</f>
        <v/>
      </c>
      <c r="K10" s="34">
        <f>IF(J10=0,0,MAXIFS(Overlap_Units!$F:$F,Overlap_Units!$A:$A,$A10,Overlap_Units!$B:$B,J4))</f>
        <v/>
      </c>
      <c r="L10" s="35">
        <f>COUNTIFS(Overlap_Units!$A:$A,$A10,Overlap_Units!$B:$B,L4)</f>
        <v/>
      </c>
      <c r="M10" s="34">
        <f>IF(L10=0,0,MAXIFS(Overlap_Units!$F:$F,Overlap_Units!$A:$A,$A10,Overlap_Units!$B:$B,L4))</f>
        <v/>
      </c>
      <c r="N10" s="33" t="inlineStr">
        <is>
          <t>AZ-led fit</t>
        </is>
      </c>
    </row>
    <row r="11" ht="48" customHeight="1">
      <c r="A11" s="33" t="inlineStr">
        <is>
          <t>Infectious disease</t>
        </is>
      </c>
      <c r="B11" s="33" t="inlineStr">
        <is>
          <t>Infectious disease</t>
        </is>
      </c>
      <c r="C11" s="34">
        <f>COUNTIFS(Asset_Data!$A:$A,"AstraZeneca",Asset_Data!$C:$C,$A11)</f>
        <v/>
      </c>
      <c r="D11" s="34">
        <f>COUNTIFS(Asset_Data!$A:$A,"Bristol Myers Squibb",Asset_Data!$C:$C,$A11)</f>
        <v/>
      </c>
      <c r="E11" s="34">
        <f>SUM(C11:D11)</f>
        <v/>
      </c>
      <c r="F11" s="35">
        <f>COUNTIFS(Overlap_Units!$A:$A,$A11,Overlap_Units!$B:$B,F4)</f>
        <v/>
      </c>
      <c r="G11" s="34">
        <f>IF(F11=0,0,MAXIFS(Overlap_Units!$F:$F,Overlap_Units!$A:$A,$A11,Overlap_Units!$B:$B,F4))</f>
        <v/>
      </c>
      <c r="H11" s="35">
        <f>COUNTIFS(Overlap_Units!$A:$A,$A11,Overlap_Units!$B:$B,H4)</f>
        <v/>
      </c>
      <c r="I11" s="34">
        <f>IF(H11=0,0,MAXIFS(Overlap_Units!$F:$F,Overlap_Units!$A:$A,$A11,Overlap_Units!$B:$B,H4))</f>
        <v/>
      </c>
      <c r="J11" s="35">
        <f>COUNTIFS(Overlap_Units!$A:$A,$A11,Overlap_Units!$B:$B,J4)</f>
        <v/>
      </c>
      <c r="K11" s="34">
        <f>IF(J11=0,0,MAXIFS(Overlap_Units!$F:$F,Overlap_Units!$A:$A,$A11,Overlap_Units!$B:$B,J4))</f>
        <v/>
      </c>
      <c r="L11" s="35">
        <f>COUNTIFS(Overlap_Units!$A:$A,$A11,Overlap_Units!$B:$B,L4)</f>
        <v/>
      </c>
      <c r="M11" s="34">
        <f>IF(L11=0,0,MAXIFS(Overlap_Units!$F:$F,Overlap_Units!$A:$A,$A11,Overlap_Units!$B:$B,L4))</f>
        <v/>
      </c>
      <c r="N11" s="33" t="inlineStr">
        <is>
          <t>AZ-led fit</t>
        </is>
      </c>
    </row>
    <row r="12" ht="48" customHeight="1">
      <c r="A12" s="33" t="inlineStr">
        <is>
          <t>Neuroscience</t>
        </is>
      </c>
      <c r="B12" s="33" t="inlineStr">
        <is>
          <t>Neuroscience</t>
        </is>
      </c>
      <c r="C12" s="34">
        <f>COUNTIFS(Asset_Data!$A:$A,"AstraZeneca",Asset_Data!$C:$C,$A12)</f>
        <v/>
      </c>
      <c r="D12" s="34">
        <f>COUNTIFS(Asset_Data!$A:$A,"Bristol Myers Squibb",Asset_Data!$C:$C,$A12)</f>
        <v/>
      </c>
      <c r="E12" s="34">
        <f>SUM(C12:D12)</f>
        <v/>
      </c>
      <c r="F12" s="35">
        <f>COUNTIFS(Overlap_Units!$A:$A,$A12,Overlap_Units!$B:$B,F4)</f>
        <v/>
      </c>
      <c r="G12" s="34">
        <f>IF(F12=0,0,MAXIFS(Overlap_Units!$F:$F,Overlap_Units!$A:$A,$A12,Overlap_Units!$B:$B,F4))</f>
        <v/>
      </c>
      <c r="H12" s="35">
        <f>COUNTIFS(Overlap_Units!$A:$A,$A12,Overlap_Units!$B:$B,H4)</f>
        <v/>
      </c>
      <c r="I12" s="34">
        <f>IF(H12=0,0,MAXIFS(Overlap_Units!$F:$F,Overlap_Units!$A:$A,$A12,Overlap_Units!$B:$B,H4))</f>
        <v/>
      </c>
      <c r="J12" s="35">
        <f>COUNTIFS(Overlap_Units!$A:$A,$A12,Overlap_Units!$B:$B,J4)</f>
        <v/>
      </c>
      <c r="K12" s="34">
        <f>IF(J12=0,0,MAXIFS(Overlap_Units!$F:$F,Overlap_Units!$A:$A,$A12,Overlap_Units!$B:$B,J4))</f>
        <v/>
      </c>
      <c r="L12" s="35">
        <f>COUNTIFS(Overlap_Units!$A:$A,$A12,Overlap_Units!$B:$B,L4)</f>
        <v/>
      </c>
      <c r="M12" s="34">
        <f>IF(L12=0,0,MAXIFS(Overlap_Units!$F:$F,Overlap_Units!$A:$A,$A12,Overlap_Units!$B:$B,L4))</f>
        <v/>
      </c>
      <c r="N12" s="33" t="inlineStr">
        <is>
          <t>BMS-led fit</t>
        </is>
      </c>
    </row>
    <row r="15" ht="30" customHeight="1">
      <c r="A15" s="36" t="inlineStr">
        <is>
          <t>Definition: overlap count = number of distinct shared territories/classes, not the number of all possible AZ-BMS asset pairs. Late-stage program = unique lead asset in Phase II or Phase III/pivotal/registration.</t>
        </is>
      </c>
    </row>
  </sheetData>
  <mergeCells count="3">
    <mergeCell ref="A15:N15"/>
    <mergeCell ref="A2:N2"/>
    <mergeCell ref="A1:N1"/>
  </mergeCells>
  <conditionalFormatting sqref="G5:G12">
    <cfRule type="cellIs" priority="1" operator="equal" dxfId="0">
      <formula>0</formula>
    </cfRule>
    <cfRule type="cellIs" priority="2" operator="equal" dxfId="1">
      <formula>1</formula>
    </cfRule>
    <cfRule type="cellIs" priority="3" operator="equal" dxfId="2">
      <formula>2</formula>
    </cfRule>
    <cfRule type="cellIs" priority="4" operator="equal" dxfId="3">
      <formula>3</formula>
    </cfRule>
  </conditionalFormatting>
  <conditionalFormatting sqref="I5:I12">
    <cfRule type="cellIs" priority="5" operator="equal" dxfId="0">
      <formula>0</formula>
    </cfRule>
    <cfRule type="cellIs" priority="6" operator="equal" dxfId="1">
      <formula>1</formula>
    </cfRule>
    <cfRule type="cellIs" priority="7" operator="equal" dxfId="2">
      <formula>2</formula>
    </cfRule>
    <cfRule type="cellIs" priority="8" operator="equal" dxfId="3">
      <formula>3</formula>
    </cfRule>
  </conditionalFormatting>
  <conditionalFormatting sqref="K5:K12">
    <cfRule type="cellIs" priority="9" operator="equal" dxfId="0">
      <formula>0</formula>
    </cfRule>
    <cfRule type="cellIs" priority="10" operator="equal" dxfId="1">
      <formula>1</formula>
    </cfRule>
    <cfRule type="cellIs" priority="11" operator="equal" dxfId="2">
      <formula>2</formula>
    </cfRule>
    <cfRule type="cellIs" priority="12" operator="equal" dxfId="3">
      <formula>3</formula>
    </cfRule>
  </conditionalFormatting>
  <conditionalFormatting sqref="M5:M12">
    <cfRule type="cellIs" priority="13" operator="equal" dxfId="0">
      <formula>0</formula>
    </cfRule>
    <cfRule type="cellIs" priority="14" operator="equal" dxfId="1">
      <formula>1</formula>
    </cfRule>
    <cfRule type="cellIs" priority="15" operator="equal" dxfId="2">
      <formula>2</formula>
    </cfRule>
    <cfRule type="cellIs" priority="16" operator="equal" dxfId="3">
      <formula>3</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3"/>
  <sheetViews>
    <sheetView showGridLines="0" workbookViewId="0">
      <pane ySplit="1" topLeftCell="A2" activePane="bottomLeft" state="frozen"/>
      <selection pane="bottomLeft" activeCell="A1" sqref="A1"/>
    </sheetView>
  </sheetViews>
  <sheetFormatPr baseColWidth="8" defaultRowHeight="15"/>
  <cols>
    <col width="31" customWidth="1" min="1" max="1"/>
    <col width="23" customWidth="1" min="2" max="2"/>
    <col width="28" customWidth="1" min="3" max="3"/>
    <col width="15" customWidth="1" min="4" max="4"/>
    <col width="12" customWidth="1" min="5" max="5"/>
    <col width="12" customWidth="1" min="6" max="6"/>
    <col width="12" customWidth="1" min="7" max="7"/>
    <col width="20" customWidth="1" min="8" max="8"/>
  </cols>
  <sheetData>
    <row r="1">
      <c r="A1" s="37" t="inlineStr">
        <is>
          <t>Disease area</t>
        </is>
      </c>
      <c r="B1" s="37" t="inlineStr">
        <is>
          <t>Plot label</t>
        </is>
      </c>
      <c r="C1" s="37" t="inlineStr">
        <is>
          <t>Factor</t>
        </is>
      </c>
      <c r="D1" s="37" t="inlineStr">
        <is>
          <t>Overlap count</t>
        </is>
      </c>
      <c r="E1" s="37" t="inlineStr">
        <is>
          <t>Intensity</t>
        </is>
      </c>
      <c r="F1" s="37" t="inlineStr">
        <is>
          <t>AZ programs</t>
        </is>
      </c>
      <c r="G1" s="37" t="inlineStr">
        <is>
          <t>BMS programs</t>
        </is>
      </c>
      <c r="H1" s="37" t="inlineStr">
        <is>
          <t>Relationship</t>
        </is>
      </c>
    </row>
    <row r="2">
      <c r="A2">
        <f>Overlap_Matrix!A5</f>
        <v/>
      </c>
      <c r="B2">
        <f>Overlap_Matrix!B5</f>
        <v/>
      </c>
      <c r="C2" t="inlineStr">
        <is>
          <t>Shared indications</t>
        </is>
      </c>
      <c r="D2">
        <f>Overlap_Matrix!F5</f>
        <v/>
      </c>
      <c r="E2">
        <f>Overlap_Matrix!G5</f>
        <v/>
      </c>
      <c r="F2">
        <f>Overlap_Matrix!C5</f>
        <v/>
      </c>
      <c r="G2">
        <f>Overlap_Matrix!D5</f>
        <v/>
      </c>
      <c r="H2">
        <f>Overlap_Matrix!N5</f>
        <v/>
      </c>
    </row>
    <row r="3">
      <c r="A3">
        <f>Overlap_Matrix!A5</f>
        <v/>
      </c>
      <c r="B3">
        <f>Overlap_Matrix!B5</f>
        <v/>
      </c>
      <c r="C3" t="inlineStr">
        <is>
          <t>Shared modalities</t>
        </is>
      </c>
      <c r="D3">
        <f>Overlap_Matrix!H5</f>
        <v/>
      </c>
      <c r="E3">
        <f>Overlap_Matrix!I5</f>
        <v/>
      </c>
      <c r="F3">
        <f>Overlap_Matrix!C5</f>
        <v/>
      </c>
      <c r="G3">
        <f>Overlap_Matrix!D5</f>
        <v/>
      </c>
      <c r="H3">
        <f>Overlap_Matrix!N5</f>
        <v/>
      </c>
    </row>
    <row r="4">
      <c r="A4">
        <f>Overlap_Matrix!A5</f>
        <v/>
      </c>
      <c r="B4">
        <f>Overlap_Matrix!B5</f>
        <v/>
      </c>
      <c r="C4" t="inlineStr">
        <is>
          <t>Shared target / mechanism</t>
        </is>
      </c>
      <c r="D4">
        <f>Overlap_Matrix!J5</f>
        <v/>
      </c>
      <c r="E4">
        <f>Overlap_Matrix!K5</f>
        <v/>
      </c>
      <c r="F4">
        <f>Overlap_Matrix!C5</f>
        <v/>
      </c>
      <c r="G4">
        <f>Overlap_Matrix!D5</f>
        <v/>
      </c>
      <c r="H4">
        <f>Overlap_Matrix!N5</f>
        <v/>
      </c>
    </row>
    <row r="5">
      <c r="A5">
        <f>Overlap_Matrix!A5</f>
        <v/>
      </c>
      <c r="B5">
        <f>Overlap_Matrix!B5</f>
        <v/>
      </c>
      <c r="C5" t="inlineStr">
        <is>
          <t>Stage alignment</t>
        </is>
      </c>
      <c r="D5">
        <f>Overlap_Matrix!L5</f>
        <v/>
      </c>
      <c r="E5">
        <f>Overlap_Matrix!M5</f>
        <v/>
      </c>
      <c r="F5">
        <f>Overlap_Matrix!C5</f>
        <v/>
      </c>
      <c r="G5">
        <f>Overlap_Matrix!D5</f>
        <v/>
      </c>
      <c r="H5">
        <f>Overlap_Matrix!N5</f>
        <v/>
      </c>
    </row>
    <row r="6">
      <c r="A6">
        <f>Overlap_Matrix!A6</f>
        <v/>
      </c>
      <c r="B6">
        <f>Overlap_Matrix!B6</f>
        <v/>
      </c>
      <c r="C6" t="inlineStr">
        <is>
          <t>Shared indications</t>
        </is>
      </c>
      <c r="D6">
        <f>Overlap_Matrix!F6</f>
        <v/>
      </c>
      <c r="E6">
        <f>Overlap_Matrix!G6</f>
        <v/>
      </c>
      <c r="F6">
        <f>Overlap_Matrix!C6</f>
        <v/>
      </c>
      <c r="G6">
        <f>Overlap_Matrix!D6</f>
        <v/>
      </c>
      <c r="H6">
        <f>Overlap_Matrix!N6</f>
        <v/>
      </c>
    </row>
    <row r="7">
      <c r="A7">
        <f>Overlap_Matrix!A6</f>
        <v/>
      </c>
      <c r="B7">
        <f>Overlap_Matrix!B6</f>
        <v/>
      </c>
      <c r="C7" t="inlineStr">
        <is>
          <t>Shared modalities</t>
        </is>
      </c>
      <c r="D7">
        <f>Overlap_Matrix!H6</f>
        <v/>
      </c>
      <c r="E7">
        <f>Overlap_Matrix!I6</f>
        <v/>
      </c>
      <c r="F7">
        <f>Overlap_Matrix!C6</f>
        <v/>
      </c>
      <c r="G7">
        <f>Overlap_Matrix!D6</f>
        <v/>
      </c>
      <c r="H7">
        <f>Overlap_Matrix!N6</f>
        <v/>
      </c>
    </row>
    <row r="8">
      <c r="A8">
        <f>Overlap_Matrix!A6</f>
        <v/>
      </c>
      <c r="B8">
        <f>Overlap_Matrix!B6</f>
        <v/>
      </c>
      <c r="C8" t="inlineStr">
        <is>
          <t>Shared target / mechanism</t>
        </is>
      </c>
      <c r="D8">
        <f>Overlap_Matrix!J6</f>
        <v/>
      </c>
      <c r="E8">
        <f>Overlap_Matrix!K6</f>
        <v/>
      </c>
      <c r="F8">
        <f>Overlap_Matrix!C6</f>
        <v/>
      </c>
      <c r="G8">
        <f>Overlap_Matrix!D6</f>
        <v/>
      </c>
      <c r="H8">
        <f>Overlap_Matrix!N6</f>
        <v/>
      </c>
    </row>
    <row r="9">
      <c r="A9">
        <f>Overlap_Matrix!A6</f>
        <v/>
      </c>
      <c r="B9">
        <f>Overlap_Matrix!B6</f>
        <v/>
      </c>
      <c r="C9" t="inlineStr">
        <is>
          <t>Stage alignment</t>
        </is>
      </c>
      <c r="D9">
        <f>Overlap_Matrix!L6</f>
        <v/>
      </c>
      <c r="E9">
        <f>Overlap_Matrix!M6</f>
        <v/>
      </c>
      <c r="F9">
        <f>Overlap_Matrix!C6</f>
        <v/>
      </c>
      <c r="G9">
        <f>Overlap_Matrix!D6</f>
        <v/>
      </c>
      <c r="H9">
        <f>Overlap_Matrix!N6</f>
        <v/>
      </c>
    </row>
    <row r="10">
      <c r="A10">
        <f>Overlap_Matrix!A7</f>
        <v/>
      </c>
      <c r="B10">
        <f>Overlap_Matrix!B7</f>
        <v/>
      </c>
      <c r="C10" t="inlineStr">
        <is>
          <t>Shared indications</t>
        </is>
      </c>
      <c r="D10">
        <f>Overlap_Matrix!F7</f>
        <v/>
      </c>
      <c r="E10">
        <f>Overlap_Matrix!G7</f>
        <v/>
      </c>
      <c r="F10">
        <f>Overlap_Matrix!C7</f>
        <v/>
      </c>
      <c r="G10">
        <f>Overlap_Matrix!D7</f>
        <v/>
      </c>
      <c r="H10">
        <f>Overlap_Matrix!N7</f>
        <v/>
      </c>
    </row>
    <row r="11">
      <c r="A11">
        <f>Overlap_Matrix!A7</f>
        <v/>
      </c>
      <c r="B11">
        <f>Overlap_Matrix!B7</f>
        <v/>
      </c>
      <c r="C11" t="inlineStr">
        <is>
          <t>Shared modalities</t>
        </is>
      </c>
      <c r="D11">
        <f>Overlap_Matrix!H7</f>
        <v/>
      </c>
      <c r="E11">
        <f>Overlap_Matrix!I7</f>
        <v/>
      </c>
      <c r="F11">
        <f>Overlap_Matrix!C7</f>
        <v/>
      </c>
      <c r="G11">
        <f>Overlap_Matrix!D7</f>
        <v/>
      </c>
      <c r="H11">
        <f>Overlap_Matrix!N7</f>
        <v/>
      </c>
    </row>
    <row r="12">
      <c r="A12">
        <f>Overlap_Matrix!A7</f>
        <v/>
      </c>
      <c r="B12">
        <f>Overlap_Matrix!B7</f>
        <v/>
      </c>
      <c r="C12" t="inlineStr">
        <is>
          <t>Shared target / mechanism</t>
        </is>
      </c>
      <c r="D12">
        <f>Overlap_Matrix!J7</f>
        <v/>
      </c>
      <c r="E12">
        <f>Overlap_Matrix!K7</f>
        <v/>
      </c>
      <c r="F12">
        <f>Overlap_Matrix!C7</f>
        <v/>
      </c>
      <c r="G12">
        <f>Overlap_Matrix!D7</f>
        <v/>
      </c>
      <c r="H12">
        <f>Overlap_Matrix!N7</f>
        <v/>
      </c>
    </row>
    <row r="13">
      <c r="A13">
        <f>Overlap_Matrix!A7</f>
        <v/>
      </c>
      <c r="B13">
        <f>Overlap_Matrix!B7</f>
        <v/>
      </c>
      <c r="C13" t="inlineStr">
        <is>
          <t>Stage alignment</t>
        </is>
      </c>
      <c r="D13">
        <f>Overlap_Matrix!L7</f>
        <v/>
      </c>
      <c r="E13">
        <f>Overlap_Matrix!M7</f>
        <v/>
      </c>
      <c r="F13">
        <f>Overlap_Matrix!C7</f>
        <v/>
      </c>
      <c r="G13">
        <f>Overlap_Matrix!D7</f>
        <v/>
      </c>
      <c r="H13">
        <f>Overlap_Matrix!N7</f>
        <v/>
      </c>
    </row>
    <row r="14">
      <c r="A14">
        <f>Overlap_Matrix!A8</f>
        <v/>
      </c>
      <c r="B14">
        <f>Overlap_Matrix!B8</f>
        <v/>
      </c>
      <c r="C14" t="inlineStr">
        <is>
          <t>Shared indications</t>
        </is>
      </c>
      <c r="D14">
        <f>Overlap_Matrix!F8</f>
        <v/>
      </c>
      <c r="E14">
        <f>Overlap_Matrix!G8</f>
        <v/>
      </c>
      <c r="F14">
        <f>Overlap_Matrix!C8</f>
        <v/>
      </c>
      <c r="G14">
        <f>Overlap_Matrix!D8</f>
        <v/>
      </c>
      <c r="H14">
        <f>Overlap_Matrix!N8</f>
        <v/>
      </c>
    </row>
    <row r="15">
      <c r="A15">
        <f>Overlap_Matrix!A8</f>
        <v/>
      </c>
      <c r="B15">
        <f>Overlap_Matrix!B8</f>
        <v/>
      </c>
      <c r="C15" t="inlineStr">
        <is>
          <t>Shared modalities</t>
        </is>
      </c>
      <c r="D15">
        <f>Overlap_Matrix!H8</f>
        <v/>
      </c>
      <c r="E15">
        <f>Overlap_Matrix!I8</f>
        <v/>
      </c>
      <c r="F15">
        <f>Overlap_Matrix!C8</f>
        <v/>
      </c>
      <c r="G15">
        <f>Overlap_Matrix!D8</f>
        <v/>
      </c>
      <c r="H15">
        <f>Overlap_Matrix!N8</f>
        <v/>
      </c>
    </row>
    <row r="16">
      <c r="A16">
        <f>Overlap_Matrix!A8</f>
        <v/>
      </c>
      <c r="B16">
        <f>Overlap_Matrix!B8</f>
        <v/>
      </c>
      <c r="C16" t="inlineStr">
        <is>
          <t>Shared target / mechanism</t>
        </is>
      </c>
      <c r="D16">
        <f>Overlap_Matrix!J8</f>
        <v/>
      </c>
      <c r="E16">
        <f>Overlap_Matrix!K8</f>
        <v/>
      </c>
      <c r="F16">
        <f>Overlap_Matrix!C8</f>
        <v/>
      </c>
      <c r="G16">
        <f>Overlap_Matrix!D8</f>
        <v/>
      </c>
      <c r="H16">
        <f>Overlap_Matrix!N8</f>
        <v/>
      </c>
    </row>
    <row r="17">
      <c r="A17">
        <f>Overlap_Matrix!A8</f>
        <v/>
      </c>
      <c r="B17">
        <f>Overlap_Matrix!B8</f>
        <v/>
      </c>
      <c r="C17" t="inlineStr">
        <is>
          <t>Stage alignment</t>
        </is>
      </c>
      <c r="D17">
        <f>Overlap_Matrix!L8</f>
        <v/>
      </c>
      <c r="E17">
        <f>Overlap_Matrix!M8</f>
        <v/>
      </c>
      <c r="F17">
        <f>Overlap_Matrix!C8</f>
        <v/>
      </c>
      <c r="G17">
        <f>Overlap_Matrix!D8</f>
        <v/>
      </c>
      <c r="H17">
        <f>Overlap_Matrix!N8</f>
        <v/>
      </c>
    </row>
    <row r="18">
      <c r="A18">
        <f>Overlap_Matrix!A9</f>
        <v/>
      </c>
      <c r="B18">
        <f>Overlap_Matrix!B9</f>
        <v/>
      </c>
      <c r="C18" t="inlineStr">
        <is>
          <t>Shared indications</t>
        </is>
      </c>
      <c r="D18">
        <f>Overlap_Matrix!F9</f>
        <v/>
      </c>
      <c r="E18">
        <f>Overlap_Matrix!G9</f>
        <v/>
      </c>
      <c r="F18">
        <f>Overlap_Matrix!C9</f>
        <v/>
      </c>
      <c r="G18">
        <f>Overlap_Matrix!D9</f>
        <v/>
      </c>
      <c r="H18">
        <f>Overlap_Matrix!N9</f>
        <v/>
      </c>
    </row>
    <row r="19">
      <c r="A19">
        <f>Overlap_Matrix!A9</f>
        <v/>
      </c>
      <c r="B19">
        <f>Overlap_Matrix!B9</f>
        <v/>
      </c>
      <c r="C19" t="inlineStr">
        <is>
          <t>Shared modalities</t>
        </is>
      </c>
      <c r="D19">
        <f>Overlap_Matrix!H9</f>
        <v/>
      </c>
      <c r="E19">
        <f>Overlap_Matrix!I9</f>
        <v/>
      </c>
      <c r="F19">
        <f>Overlap_Matrix!C9</f>
        <v/>
      </c>
      <c r="G19">
        <f>Overlap_Matrix!D9</f>
        <v/>
      </c>
      <c r="H19">
        <f>Overlap_Matrix!N9</f>
        <v/>
      </c>
    </row>
    <row r="20">
      <c r="A20">
        <f>Overlap_Matrix!A9</f>
        <v/>
      </c>
      <c r="B20">
        <f>Overlap_Matrix!B9</f>
        <v/>
      </c>
      <c r="C20" t="inlineStr">
        <is>
          <t>Shared target / mechanism</t>
        </is>
      </c>
      <c r="D20">
        <f>Overlap_Matrix!J9</f>
        <v/>
      </c>
      <c r="E20">
        <f>Overlap_Matrix!K9</f>
        <v/>
      </c>
      <c r="F20">
        <f>Overlap_Matrix!C9</f>
        <v/>
      </c>
      <c r="G20">
        <f>Overlap_Matrix!D9</f>
        <v/>
      </c>
      <c r="H20">
        <f>Overlap_Matrix!N9</f>
        <v/>
      </c>
    </row>
    <row r="21">
      <c r="A21">
        <f>Overlap_Matrix!A9</f>
        <v/>
      </c>
      <c r="B21">
        <f>Overlap_Matrix!B9</f>
        <v/>
      </c>
      <c r="C21" t="inlineStr">
        <is>
          <t>Stage alignment</t>
        </is>
      </c>
      <c r="D21">
        <f>Overlap_Matrix!L9</f>
        <v/>
      </c>
      <c r="E21">
        <f>Overlap_Matrix!M9</f>
        <v/>
      </c>
      <c r="F21">
        <f>Overlap_Matrix!C9</f>
        <v/>
      </c>
      <c r="G21">
        <f>Overlap_Matrix!D9</f>
        <v/>
      </c>
      <c r="H21">
        <f>Overlap_Matrix!N9</f>
        <v/>
      </c>
    </row>
    <row r="22">
      <c r="A22">
        <f>Overlap_Matrix!A10</f>
        <v/>
      </c>
      <c r="B22">
        <f>Overlap_Matrix!B10</f>
        <v/>
      </c>
      <c r="C22" t="inlineStr">
        <is>
          <t>Shared indications</t>
        </is>
      </c>
      <c r="D22">
        <f>Overlap_Matrix!F10</f>
        <v/>
      </c>
      <c r="E22">
        <f>Overlap_Matrix!G10</f>
        <v/>
      </c>
      <c r="F22">
        <f>Overlap_Matrix!C10</f>
        <v/>
      </c>
      <c r="G22">
        <f>Overlap_Matrix!D10</f>
        <v/>
      </c>
      <c r="H22">
        <f>Overlap_Matrix!N10</f>
        <v/>
      </c>
    </row>
    <row r="23">
      <c r="A23">
        <f>Overlap_Matrix!A10</f>
        <v/>
      </c>
      <c r="B23">
        <f>Overlap_Matrix!B10</f>
        <v/>
      </c>
      <c r="C23" t="inlineStr">
        <is>
          <t>Shared modalities</t>
        </is>
      </c>
      <c r="D23">
        <f>Overlap_Matrix!H10</f>
        <v/>
      </c>
      <c r="E23">
        <f>Overlap_Matrix!I10</f>
        <v/>
      </c>
      <c r="F23">
        <f>Overlap_Matrix!C10</f>
        <v/>
      </c>
      <c r="G23">
        <f>Overlap_Matrix!D10</f>
        <v/>
      </c>
      <c r="H23">
        <f>Overlap_Matrix!N10</f>
        <v/>
      </c>
    </row>
    <row r="24">
      <c r="A24">
        <f>Overlap_Matrix!A10</f>
        <v/>
      </c>
      <c r="B24">
        <f>Overlap_Matrix!B10</f>
        <v/>
      </c>
      <c r="C24" t="inlineStr">
        <is>
          <t>Shared target / mechanism</t>
        </is>
      </c>
      <c r="D24">
        <f>Overlap_Matrix!J10</f>
        <v/>
      </c>
      <c r="E24">
        <f>Overlap_Matrix!K10</f>
        <v/>
      </c>
      <c r="F24">
        <f>Overlap_Matrix!C10</f>
        <v/>
      </c>
      <c r="G24">
        <f>Overlap_Matrix!D10</f>
        <v/>
      </c>
      <c r="H24">
        <f>Overlap_Matrix!N10</f>
        <v/>
      </c>
    </row>
    <row r="25">
      <c r="A25">
        <f>Overlap_Matrix!A10</f>
        <v/>
      </c>
      <c r="B25">
        <f>Overlap_Matrix!B10</f>
        <v/>
      </c>
      <c r="C25" t="inlineStr">
        <is>
          <t>Stage alignment</t>
        </is>
      </c>
      <c r="D25">
        <f>Overlap_Matrix!L10</f>
        <v/>
      </c>
      <c r="E25">
        <f>Overlap_Matrix!M10</f>
        <v/>
      </c>
      <c r="F25">
        <f>Overlap_Matrix!C10</f>
        <v/>
      </c>
      <c r="G25">
        <f>Overlap_Matrix!D10</f>
        <v/>
      </c>
      <c r="H25">
        <f>Overlap_Matrix!N10</f>
        <v/>
      </c>
    </row>
    <row r="26">
      <c r="A26">
        <f>Overlap_Matrix!A11</f>
        <v/>
      </c>
      <c r="B26">
        <f>Overlap_Matrix!B11</f>
        <v/>
      </c>
      <c r="C26" t="inlineStr">
        <is>
          <t>Shared indications</t>
        </is>
      </c>
      <c r="D26">
        <f>Overlap_Matrix!F11</f>
        <v/>
      </c>
      <c r="E26">
        <f>Overlap_Matrix!G11</f>
        <v/>
      </c>
      <c r="F26">
        <f>Overlap_Matrix!C11</f>
        <v/>
      </c>
      <c r="G26">
        <f>Overlap_Matrix!D11</f>
        <v/>
      </c>
      <c r="H26">
        <f>Overlap_Matrix!N11</f>
        <v/>
      </c>
    </row>
    <row r="27">
      <c r="A27">
        <f>Overlap_Matrix!A11</f>
        <v/>
      </c>
      <c r="B27">
        <f>Overlap_Matrix!B11</f>
        <v/>
      </c>
      <c r="C27" t="inlineStr">
        <is>
          <t>Shared modalities</t>
        </is>
      </c>
      <c r="D27">
        <f>Overlap_Matrix!H11</f>
        <v/>
      </c>
      <c r="E27">
        <f>Overlap_Matrix!I11</f>
        <v/>
      </c>
      <c r="F27">
        <f>Overlap_Matrix!C11</f>
        <v/>
      </c>
      <c r="G27">
        <f>Overlap_Matrix!D11</f>
        <v/>
      </c>
      <c r="H27">
        <f>Overlap_Matrix!N11</f>
        <v/>
      </c>
    </row>
    <row r="28">
      <c r="A28">
        <f>Overlap_Matrix!A11</f>
        <v/>
      </c>
      <c r="B28">
        <f>Overlap_Matrix!B11</f>
        <v/>
      </c>
      <c r="C28" t="inlineStr">
        <is>
          <t>Shared target / mechanism</t>
        </is>
      </c>
      <c r="D28">
        <f>Overlap_Matrix!J11</f>
        <v/>
      </c>
      <c r="E28">
        <f>Overlap_Matrix!K11</f>
        <v/>
      </c>
      <c r="F28">
        <f>Overlap_Matrix!C11</f>
        <v/>
      </c>
      <c r="G28">
        <f>Overlap_Matrix!D11</f>
        <v/>
      </c>
      <c r="H28">
        <f>Overlap_Matrix!N11</f>
        <v/>
      </c>
    </row>
    <row r="29">
      <c r="A29">
        <f>Overlap_Matrix!A11</f>
        <v/>
      </c>
      <c r="B29">
        <f>Overlap_Matrix!B11</f>
        <v/>
      </c>
      <c r="C29" t="inlineStr">
        <is>
          <t>Stage alignment</t>
        </is>
      </c>
      <c r="D29">
        <f>Overlap_Matrix!L11</f>
        <v/>
      </c>
      <c r="E29">
        <f>Overlap_Matrix!M11</f>
        <v/>
      </c>
      <c r="F29">
        <f>Overlap_Matrix!C11</f>
        <v/>
      </c>
      <c r="G29">
        <f>Overlap_Matrix!D11</f>
        <v/>
      </c>
      <c r="H29">
        <f>Overlap_Matrix!N11</f>
        <v/>
      </c>
    </row>
    <row r="30">
      <c r="A30">
        <f>Overlap_Matrix!A12</f>
        <v/>
      </c>
      <c r="B30">
        <f>Overlap_Matrix!B12</f>
        <v/>
      </c>
      <c r="C30" t="inlineStr">
        <is>
          <t>Shared indications</t>
        </is>
      </c>
      <c r="D30">
        <f>Overlap_Matrix!F12</f>
        <v/>
      </c>
      <c r="E30">
        <f>Overlap_Matrix!G12</f>
        <v/>
      </c>
      <c r="F30">
        <f>Overlap_Matrix!C12</f>
        <v/>
      </c>
      <c r="G30">
        <f>Overlap_Matrix!D12</f>
        <v/>
      </c>
      <c r="H30">
        <f>Overlap_Matrix!N12</f>
        <v/>
      </c>
    </row>
    <row r="31">
      <c r="A31">
        <f>Overlap_Matrix!A12</f>
        <v/>
      </c>
      <c r="B31">
        <f>Overlap_Matrix!B12</f>
        <v/>
      </c>
      <c r="C31" t="inlineStr">
        <is>
          <t>Shared modalities</t>
        </is>
      </c>
      <c r="D31">
        <f>Overlap_Matrix!H12</f>
        <v/>
      </c>
      <c r="E31">
        <f>Overlap_Matrix!I12</f>
        <v/>
      </c>
      <c r="F31">
        <f>Overlap_Matrix!C12</f>
        <v/>
      </c>
      <c r="G31">
        <f>Overlap_Matrix!D12</f>
        <v/>
      </c>
      <c r="H31">
        <f>Overlap_Matrix!N12</f>
        <v/>
      </c>
    </row>
    <row r="32">
      <c r="A32">
        <f>Overlap_Matrix!A12</f>
        <v/>
      </c>
      <c r="B32">
        <f>Overlap_Matrix!B12</f>
        <v/>
      </c>
      <c r="C32" t="inlineStr">
        <is>
          <t>Shared target / mechanism</t>
        </is>
      </c>
      <c r="D32">
        <f>Overlap_Matrix!J12</f>
        <v/>
      </c>
      <c r="E32">
        <f>Overlap_Matrix!K12</f>
        <v/>
      </c>
      <c r="F32">
        <f>Overlap_Matrix!C12</f>
        <v/>
      </c>
      <c r="G32">
        <f>Overlap_Matrix!D12</f>
        <v/>
      </c>
      <c r="H32">
        <f>Overlap_Matrix!N12</f>
        <v/>
      </c>
    </row>
    <row r="33">
      <c r="A33">
        <f>Overlap_Matrix!A12</f>
        <v/>
      </c>
      <c r="B33">
        <f>Overlap_Matrix!B12</f>
        <v/>
      </c>
      <c r="C33" t="inlineStr">
        <is>
          <t>Stage alignment</t>
        </is>
      </c>
      <c r="D33">
        <f>Overlap_Matrix!L12</f>
        <v/>
      </c>
      <c r="E33">
        <f>Overlap_Matrix!M12</f>
        <v/>
      </c>
      <c r="F33">
        <f>Overlap_Matrix!C12</f>
        <v/>
      </c>
      <c r="G33">
        <f>Overlap_Matrix!D12</f>
        <v/>
      </c>
      <c r="H33">
        <f>Overlap_Matrix!N12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showGridLines="0" workbookViewId="0">
      <pane ySplit="3" topLeftCell="A4" activePane="bottomLeft" state="frozen"/>
      <selection pane="bottomLeft" activeCell="A1" sqref="A1"/>
    </sheetView>
  </sheetViews>
  <sheetFormatPr baseColWidth="8" defaultRowHeight="15"/>
  <cols>
    <col width="27" customWidth="1" min="1" max="1"/>
    <col width="22" customWidth="1" min="2" max="2"/>
    <col width="25" customWidth="1" min="3" max="3"/>
    <col width="34" customWidth="1" min="4" max="4"/>
  </cols>
  <sheetData>
    <row r="1">
      <c r="A1" s="41" t="inlineStr">
        <is>
          <t>Visual settings and encoding</t>
        </is>
      </c>
    </row>
    <row r="3">
      <c r="A3" s="42" t="inlineStr">
        <is>
          <t>Element</t>
        </is>
      </c>
      <c r="B3" s="42" t="inlineStr">
        <is>
          <t>Hex</t>
        </is>
      </c>
      <c r="C3" s="42" t="inlineStr">
        <is>
          <t>Use</t>
        </is>
      </c>
      <c r="D3" s="42" t="inlineStr">
        <is>
          <t>Notes</t>
        </is>
      </c>
    </row>
    <row r="4">
      <c r="A4" s="43" t="inlineStr">
        <is>
          <t>AstraZeneca primary</t>
        </is>
      </c>
      <c r="B4" s="44" t="inlineStr">
        <is>
          <t>#7A1F63</t>
        </is>
      </c>
      <c r="C4" s="43" t="inlineStr">
        <is>
          <t>Stacked bar</t>
        </is>
      </c>
      <c r="D4" s="43" t="inlineStr">
        <is>
          <t>Logo-inspired plum</t>
        </is>
      </c>
    </row>
    <row r="5">
      <c r="A5" s="43" t="inlineStr">
        <is>
          <t>AstraZeneca accent</t>
        </is>
      </c>
      <c r="B5" s="45" t="inlineStr">
        <is>
          <t>#D7A900</t>
        </is>
      </c>
      <c r="C5" s="43" t="inlineStr">
        <is>
          <t>Thin bar/legend accent</t>
        </is>
      </c>
      <c r="D5" s="43" t="inlineStr">
        <is>
          <t>Logo-inspired gold</t>
        </is>
      </c>
    </row>
    <row r="6">
      <c r="A6" s="43" t="inlineStr">
        <is>
          <t>BMS primary</t>
        </is>
      </c>
      <c r="B6" s="46" t="inlineStr">
        <is>
          <t>#263B73</t>
        </is>
      </c>
      <c r="C6" s="43" t="inlineStr">
        <is>
          <t>Stacked bar</t>
        </is>
      </c>
      <c r="D6" s="43" t="inlineStr">
        <is>
          <t>Logo-inspired navy</t>
        </is>
      </c>
    </row>
    <row r="7">
      <c r="A7" s="43" t="inlineStr">
        <is>
          <t>BMS accent</t>
        </is>
      </c>
      <c r="B7" s="47" t="inlineStr">
        <is>
          <t>#76519A</t>
        </is>
      </c>
      <c r="C7" s="43" t="inlineStr">
        <is>
          <t>Thin bar/legend accent</t>
        </is>
      </c>
      <c r="D7" s="43" t="inlineStr">
        <is>
          <t>Hand-mark-inspired violet</t>
        </is>
      </c>
    </row>
    <row r="8">
      <c r="A8" s="43" t="inlineStr">
        <is>
          <t>Overlap - limited</t>
        </is>
      </c>
      <c r="B8" s="48" t="inlineStr">
        <is>
          <t>#F7D3D0</t>
        </is>
      </c>
      <c r="C8" s="43" t="inlineStr">
        <is>
          <t>Bubble fill</t>
        </is>
      </c>
      <c r="D8" s="43" t="inlineStr">
        <is>
          <t>Low directness</t>
        </is>
      </c>
    </row>
    <row r="9">
      <c r="A9" s="43" t="inlineStr">
        <is>
          <t>Overlap - moderate</t>
        </is>
      </c>
      <c r="B9" s="49" t="inlineStr">
        <is>
          <t>#ED756D</t>
        </is>
      </c>
      <c r="C9" s="43" t="inlineStr">
        <is>
          <t>Bubble fill</t>
        </is>
      </c>
      <c r="D9" s="43" t="inlineStr">
        <is>
          <t>Medium directness</t>
        </is>
      </c>
    </row>
    <row r="10">
      <c r="A10" s="43" t="inlineStr">
        <is>
          <t>Overlap - strong</t>
        </is>
      </c>
      <c r="B10" s="50" t="inlineStr">
        <is>
          <t>#C51F36</t>
        </is>
      </c>
      <c r="C10" s="43" t="inlineStr">
        <is>
          <t>Bubble fill</t>
        </is>
      </c>
      <c r="D10" s="43" t="inlineStr">
        <is>
          <t>High directness</t>
        </is>
      </c>
    </row>
    <row r="11">
      <c r="A11" s="43" t="inlineStr">
        <is>
          <t>Bubble outline</t>
        </is>
      </c>
      <c r="B11" s="51" t="inlineStr">
        <is>
          <t>#8E1829</t>
        </is>
      </c>
      <c r="C11" s="43" t="inlineStr">
        <is>
          <t>Bubble border</t>
        </is>
      </c>
      <c r="D11" s="43" t="inlineStr">
        <is>
          <t>Consistent red boundary</t>
        </is>
      </c>
    </row>
    <row r="12">
      <c r="A12" s="43" t="inlineStr">
        <is>
          <t>Page background</t>
        </is>
      </c>
      <c r="B12" s="52" t="inlineStr">
        <is>
          <t>#F4F1EC</t>
        </is>
      </c>
      <c r="C12" s="43" t="inlineStr">
        <is>
          <t>Canvas</t>
        </is>
      </c>
      <c r="D12" s="43" t="inlineStr">
        <is>
          <t>Warm neutral</t>
        </is>
      </c>
    </row>
    <row r="13">
      <c r="A13" s="43" t="inlineStr">
        <is>
          <t>Card background</t>
        </is>
      </c>
      <c r="B13" s="53" t="inlineStr">
        <is>
          <t>#FFFFFF</t>
        </is>
      </c>
      <c r="C13" s="43" t="inlineStr">
        <is>
          <t>Main panel</t>
        </is>
      </c>
      <c r="D13" s="43" t="inlineStr">
        <is>
          <t>White</t>
        </is>
      </c>
    </row>
    <row r="14">
      <c r="A14" s="43" t="inlineStr">
        <is>
          <t>Primary text</t>
        </is>
      </c>
      <c r="B14" s="54" t="inlineStr">
        <is>
          <t>#182230</t>
        </is>
      </c>
      <c r="C14" s="43" t="inlineStr">
        <is>
          <t>Text</t>
        </is>
      </c>
      <c r="D14" s="43" t="inlineStr">
        <is>
          <t>Dark ink</t>
        </is>
      </c>
    </row>
    <row r="17">
      <c r="A17" s="39" t="inlineStr">
        <is>
          <t>Encoding definitions</t>
        </is>
      </c>
    </row>
    <row r="18" ht="30" customHeight="1">
      <c r="A18" s="55" t="inlineStr">
        <is>
          <t>Stacked-bar height</t>
        </is>
      </c>
      <c r="B18" s="40" t="inlineStr">
        <is>
          <t>Number of unique late-stage programs by company and disease area</t>
        </is>
      </c>
    </row>
    <row r="19" ht="30" customHeight="1">
      <c r="A19" s="55" t="inlineStr">
        <is>
          <t>Bubble label + size</t>
        </is>
      </c>
      <c r="B19" s="40" t="inlineStr">
        <is>
          <t>Number of distinct shared overlap units in the corresponding disease area and portfolio dimension</t>
        </is>
      </c>
    </row>
    <row r="20" ht="30" customHeight="1">
      <c r="A20" s="55" t="inlineStr">
        <is>
          <t>Bubble red tone</t>
        </is>
      </c>
      <c r="B20" s="40" t="inlineStr">
        <is>
          <t>Analyst-coded directness: 1 limited, 2 moderate, 3 strong</t>
        </is>
      </c>
    </row>
    <row r="21" ht="30" customHeight="1">
      <c r="A21" s="55" t="inlineStr">
        <is>
          <t>Hollow circle</t>
        </is>
      </c>
      <c r="B21" s="40" t="inlineStr">
        <is>
          <t>No identified overlap unit under the current normalization</t>
        </is>
      </c>
    </row>
  </sheetData>
  <mergeCells count="6">
    <mergeCell ref="A1:D1"/>
    <mergeCell ref="A17:D17"/>
    <mergeCell ref="B19:D19"/>
    <mergeCell ref="B18:D18"/>
    <mergeCell ref="B21:D21"/>
    <mergeCell ref="B20:D20"/>
  </mergeCells>
  <pageMargins left="0.75" right="0.75" top="1" bottom="1" header="0.5" footer="0.5"/>
</worksheet>
</file>

<file path=xl/worksheets/sheet8.xml><?xml version="1.0" encoding="utf-8"?>
<worksheet xmlns="http://schemas.openxmlformats.org/spreadsheetml/2006/main">
  <sheetPr>
    <outlinePr summaryBelow="1" summaryRight="1"/>
    <pageSetUpPr fitToPage="1"/>
  </sheetPr>
  <dimension ref="A1:E12"/>
  <sheetViews>
    <sheetView showGridLines="0" zoomScale="90" workbookViewId="0">
      <pane ySplit="3" topLeftCell="A4" activePane="bottomLeft" state="frozen"/>
      <selection pane="bottomLeft" activeCell="A1" sqref="A1"/>
    </sheetView>
  </sheetViews>
  <sheetFormatPr baseColWidth="8" defaultRowHeight="15"/>
  <cols>
    <col width="34" customWidth="1" min="1" max="1"/>
    <col width="16" customWidth="1" min="2" max="2"/>
    <col width="22" customWidth="1" min="3" max="3"/>
    <col width="12" customWidth="1" min="4" max="4"/>
    <col width="22" customWidth="1" min="5" max="5"/>
    <col width="15" customWidth="1" min="6" max="6"/>
  </cols>
  <sheetData>
    <row r="1">
      <c r="A1" s="12" t="inlineStr">
        <is>
          <t>Portfolio summary (formula-driven)</t>
        </is>
      </c>
    </row>
    <row r="3">
      <c r="A3" s="13" t="inlineStr">
        <is>
          <t>Normalized area</t>
        </is>
      </c>
      <c r="B3" s="13" t="inlineStr">
        <is>
          <t>AstraZeneca</t>
        </is>
      </c>
      <c r="C3" s="13" t="inlineStr">
        <is>
          <t>Bristol Myers Squibb</t>
        </is>
      </c>
      <c r="D3" s="13" t="inlineStr">
        <is>
          <t>Combined</t>
        </is>
      </c>
      <c r="E3" s="13" t="inlineStr">
        <is>
          <t>Portfolio relationship</t>
        </is>
      </c>
    </row>
    <row r="4">
      <c r="A4" s="14" t="inlineStr">
        <is>
          <t>Solid-tumor oncology</t>
        </is>
      </c>
      <c r="B4" s="15">
        <f>COUNTIFS(Asset_Data!$A:$A,"AstraZeneca",Asset_Data!$C:$C,$A4)</f>
        <v/>
      </c>
      <c r="C4" s="15">
        <f>COUNTIFS(Asset_Data!$A:$A,"Bristol Myers Squibb",Asset_Data!$C:$C,$A4)</f>
        <v/>
      </c>
      <c r="D4" s="16">
        <f>SUM(B4:C4)</f>
        <v/>
      </c>
      <c r="E4" s="15">
        <f>IF(AND(B4&gt;0,C4&gt;0),"Shared territory","One-sided strength")</f>
        <v/>
      </c>
    </row>
    <row r="5">
      <c r="A5" t="inlineStr">
        <is>
          <t>Immunology, respiratory &amp; fibrosis</t>
        </is>
      </c>
      <c r="B5" s="18">
        <f>COUNTIFS(Asset_Data!$A:$A,"AstraZeneca",Asset_Data!$C:$C,$A5)</f>
        <v/>
      </c>
      <c r="C5" s="18">
        <f>COUNTIFS(Asset_Data!$A:$A,"Bristol Myers Squibb",Asset_Data!$C:$C,$A5)</f>
        <v/>
      </c>
      <c r="D5" s="19">
        <f>SUM(B5:C5)</f>
        <v/>
      </c>
      <c r="E5" s="18">
        <f>IF(AND(B5&gt;0,C5&gt;0),"Shared territory","One-sided strength")</f>
        <v/>
      </c>
    </row>
    <row r="6">
      <c r="A6" s="14" t="inlineStr">
        <is>
          <t>Hematology</t>
        </is>
      </c>
      <c r="B6" s="15">
        <f>COUNTIFS(Asset_Data!$A:$A,"AstraZeneca",Asset_Data!$C:$C,$A6)</f>
        <v/>
      </c>
      <c r="C6" s="15">
        <f>COUNTIFS(Asset_Data!$A:$A,"Bristol Myers Squibb",Asset_Data!$C:$C,$A6)</f>
        <v/>
      </c>
      <c r="D6" s="16">
        <f>SUM(B6:C6)</f>
        <v/>
      </c>
      <c r="E6" s="15">
        <f>IF(AND(B6&gt;0,C6&gt;0),"Shared territory","One-sided strength")</f>
        <v/>
      </c>
    </row>
    <row r="7">
      <c r="A7" t="inlineStr">
        <is>
          <t>Cardiovascular</t>
        </is>
      </c>
      <c r="B7" s="18">
        <f>COUNTIFS(Asset_Data!$A:$A,"AstraZeneca",Asset_Data!$C:$C,$A7)</f>
        <v/>
      </c>
      <c r="C7" s="18">
        <f>COUNTIFS(Asset_Data!$A:$A,"Bristol Myers Squibb",Asset_Data!$C:$C,$A7)</f>
        <v/>
      </c>
      <c r="D7" s="19">
        <f>SUM(B7:C7)</f>
        <v/>
      </c>
      <c r="E7" s="18">
        <f>IF(AND(B7&gt;0,C7&gt;0),"Shared territory","One-sided strength")</f>
        <v/>
      </c>
    </row>
    <row r="8">
      <c r="A8" s="14" t="inlineStr">
        <is>
          <t>Rare disease</t>
        </is>
      </c>
      <c r="B8" s="15">
        <f>COUNTIFS(Asset_Data!$A:$A,"AstraZeneca",Asset_Data!$C:$C,$A8)</f>
        <v/>
      </c>
      <c r="C8" s="15">
        <f>COUNTIFS(Asset_Data!$A:$A,"Bristol Myers Squibb",Asset_Data!$C:$C,$A8)</f>
        <v/>
      </c>
      <c r="D8" s="16">
        <f>SUM(B8:C8)</f>
        <v/>
      </c>
      <c r="E8" s="15">
        <f>IF(AND(B8&gt;0,C8&gt;0),"Shared territory","One-sided strength")</f>
        <v/>
      </c>
    </row>
    <row r="9">
      <c r="A9" t="inlineStr">
        <is>
          <t>Renal &amp; metabolic</t>
        </is>
      </c>
      <c r="B9" s="18">
        <f>COUNTIFS(Asset_Data!$A:$A,"AstraZeneca",Asset_Data!$C:$C,$A9)</f>
        <v/>
      </c>
      <c r="C9" s="18">
        <f>COUNTIFS(Asset_Data!$A:$A,"Bristol Myers Squibb",Asset_Data!$C:$C,$A9)</f>
        <v/>
      </c>
      <c r="D9" s="19">
        <f>SUM(B9:C9)</f>
        <v/>
      </c>
      <c r="E9" s="18">
        <f>IF(AND(B9&gt;0,C9&gt;0),"Shared territory","One-sided strength")</f>
        <v/>
      </c>
    </row>
    <row r="10">
      <c r="A10" s="14" t="inlineStr">
        <is>
          <t>Infectious disease</t>
        </is>
      </c>
      <c r="B10" s="15">
        <f>COUNTIFS(Asset_Data!$A:$A,"AstraZeneca",Asset_Data!$C:$C,$A10)</f>
        <v/>
      </c>
      <c r="C10" s="15">
        <f>COUNTIFS(Asset_Data!$A:$A,"Bristol Myers Squibb",Asset_Data!$C:$C,$A10)</f>
        <v/>
      </c>
      <c r="D10" s="16">
        <f>SUM(B10:C10)</f>
        <v/>
      </c>
      <c r="E10" s="15">
        <f>IF(AND(B10&gt;0,C10&gt;0),"Shared territory","One-sided strength")</f>
        <v/>
      </c>
    </row>
    <row r="11">
      <c r="A11" t="inlineStr">
        <is>
          <t>Neuroscience</t>
        </is>
      </c>
      <c r="B11" s="18">
        <f>COUNTIFS(Asset_Data!$A:$A,"AstraZeneca",Asset_Data!$C:$C,$A11)</f>
        <v/>
      </c>
      <c r="C11" s="18">
        <f>COUNTIFS(Asset_Data!$A:$A,"Bristol Myers Squibb",Asset_Data!$C:$C,$A11)</f>
        <v/>
      </c>
      <c r="D11" s="19">
        <f>SUM(B11:C11)</f>
        <v/>
      </c>
      <c r="E11" s="18">
        <f>IF(AND(B11&gt;0,C11&gt;0),"Shared territory","One-sided strength")</f>
        <v/>
      </c>
    </row>
    <row r="12">
      <c r="A12" s="21" t="inlineStr">
        <is>
          <t>Total</t>
        </is>
      </c>
      <c r="B12" s="21">
        <f>SUM(B4:B11)</f>
        <v/>
      </c>
      <c r="C12" s="21">
        <f>SUM(C4:C11)</f>
        <v/>
      </c>
      <c r="D12" s="21">
        <f>SUM(D4:D11)</f>
        <v/>
      </c>
    </row>
  </sheetData>
  <pageMargins left="0.75" right="0.75" top="1" bottom="1" header="0.5" footer="0.5"/>
  <pageSetup fitToHeight="0" fitToWidth="1"/>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A9"/>
  <sheetViews>
    <sheetView showGridLines="0" zoomScale="90" workbookViewId="0">
      <selection activeCell="A1" sqref="A1"/>
    </sheetView>
  </sheetViews>
  <sheetFormatPr baseColWidth="8" defaultRowHeight="15"/>
  <cols>
    <col width="105" customWidth="1" min="1" max="1"/>
  </cols>
  <sheetData>
    <row r="1">
      <c r="A1" s="12" t="inlineStr">
        <is>
          <t>LinkedIn post draft</t>
        </is>
      </c>
    </row>
    <row r="3" ht="520" customHeight="1">
      <c r="A3" s="22" t="inlineStr">
        <is>
          <t>The AstraZeneca–BMS rumor appears to be off the table. But the portfolio thought experiment is still interesting.
I mapped the companies’ Phase II/III investigational portfolios using matched February 2026 company disclosures.
The result looks less like a simple “R&amp;D machine” and more like a mix of portfolio fit and collision.
The collision zone is oncology.
Across the mapped portfolio, the two companies have 18 solid-tumor programs and 8 hematology programs. Both are active in immuno-oncology and lung cancer, while the broader pipelines span ADCs, bispecifics, radiopharmaceuticals, cell therapy and targeted protein degradation.
The complementarity is mostly outside oncology.
AstraZeneca contributes much more breadth in rare disease, renal/metabolic disease and infectious disease. BMS adds a distinct neuroscience position, while both companies also overlap in immunology/respiratory/fibrosis and cardiovascular disease.
The real integration question would not be whether the combined company had enough assets. It would be which programs, platforms, teams and partnerships would survive portfolio prioritization.
More breadth creates more optionality—but also more duplication and harder choices.
My takeaway: the strategic value would depend less on adding the two pipelines together, and more on how aggressively management rationalized the overlap without disrupting the science that created it.
What would you scrutinize first: portfolio overlap, patent cliffs or integration risk?
Data note: unique lead investigational assets/programs in Phase II or III/pivotal/registration; matched AstraZeneca (Feb. 10, 2026) and BMS (Feb. 5, 2026) disclosures; approved-indication expansions and significant life-cycle-management programs excluded.</t>
        </is>
      </c>
    </row>
    <row r="5">
      <c r="A5" s="2" t="inlineStr">
        <is>
          <t>Optional shorter opening</t>
        </is>
      </c>
    </row>
    <row r="6">
      <c r="A6" s="23" t="inlineStr">
        <is>
          <t>The rumor may be dead. The portfolio question is not: would AstraZeneca + BMS create strategic fit—or force a wave of R&amp;D rationalization?</t>
        </is>
      </c>
    </row>
    <row r="8">
      <c r="A8" s="2" t="inlineStr">
        <is>
          <t>Suggested hashtags</t>
        </is>
      </c>
    </row>
    <row r="9">
      <c r="A9" t="inlineStr">
        <is>
          <t>#Pharma #Biotech #DrugDevelopment #Oncology #Strategy #MergersAndAcquisitions</t>
        </is>
      </c>
    </row>
  </sheetData>
  <pageMargins left="0.75" right="0.75" top="1" bottom="1" header="0.5" footer="0.5"/>
  <pageSetup fitToHeight="0" fitToWidth="1"/>
</worksheet>
</file>

<file path=xl/worksheets/sheet10.xml><?xml version="1.0" encoding="utf-8"?>
<worksheet xmlns="http://schemas.openxmlformats.org/spreadsheetml/2006/main">
  <sheetPr>
    <outlinePr summaryBelow="1" summaryRight="1"/>
    <pageSetUpPr fitToPage="1"/>
  </sheetPr>
  <dimension ref="A1:D6"/>
  <sheetViews>
    <sheetView showGridLines="0" zoomScale="90" workbookViewId="0">
      <selection activeCell="A1" sqref="A1"/>
    </sheetView>
  </sheetViews>
  <sheetFormatPr baseColWidth="8" defaultRowHeight="15"/>
  <cols>
    <col width="35" customWidth="1" min="1" max="1"/>
    <col width="16" customWidth="1" min="2" max="2"/>
    <col width="55" customWidth="1" min="3" max="3"/>
    <col width="90" customWidth="1" min="4" max="4"/>
  </cols>
  <sheetData>
    <row r="1">
      <c r="A1" s="2" t="inlineStr">
        <is>
          <t>Source</t>
        </is>
      </c>
      <c r="B1" s="2" t="inlineStr">
        <is>
          <t>Date</t>
        </is>
      </c>
      <c r="C1" s="2" t="inlineStr">
        <is>
          <t>Use</t>
        </is>
      </c>
      <c r="D1" s="2" t="inlineStr">
        <is>
          <t>URL</t>
        </is>
      </c>
    </row>
    <row r="2" ht="42" customHeight="1">
      <c r="A2" s="10" t="inlineStr">
        <is>
          <t>AstraZeneca development pipeline</t>
        </is>
      </c>
      <c r="B2" s="10" t="inlineStr">
        <is>
          <t>10 Feb 2026</t>
        </is>
      </c>
      <c r="C2" s="10" t="inlineStr">
        <is>
          <t>Primary data for AstraZeneca Phase II and Phase III/pivotal/registration assets</t>
        </is>
      </c>
      <c r="D2" s="9" t="inlineStr">
        <is>
          <t>https://www.astrazeneca.com/content/dam/az/Investor_Relations/annual-report-2025/pdf/AstraZeneca_Development_Pipeline_2025.pdf</t>
        </is>
      </c>
    </row>
    <row r="3" ht="42" customHeight="1">
      <c r="A3" s="10" t="inlineStr">
        <is>
          <t>BMS development portfolio</t>
        </is>
      </c>
      <c r="B3" s="10" t="inlineStr">
        <is>
          <t>5 Feb 2026</t>
        </is>
      </c>
      <c r="C3" s="10" t="inlineStr">
        <is>
          <t>Primary data for BMS Phase II and Phase III investigational compounds</t>
        </is>
      </c>
      <c r="D3" s="9" t="inlineStr">
        <is>
          <t>https://annual-report.bms.com/assets/bms-ar/documents/2025/2025-bms-development-portfolio.pdf</t>
        </is>
      </c>
    </row>
    <row r="4" ht="42" customHeight="1">
      <c r="A4" s="10" t="inlineStr">
        <is>
          <t>AstraZeneca current pipeline page</t>
        </is>
      </c>
      <c r="B4" s="10" t="inlineStr">
        <is>
          <t>27 Jul 2026</t>
        </is>
      </c>
      <c r="C4" s="10" t="inlineStr">
        <is>
          <t>Current context; not used for matched-snapshot counts</t>
        </is>
      </c>
      <c r="D4" s="9" t="inlineStr">
        <is>
          <t>https://www.astrazeneca.com/our-therapy-areas/pipeline.html</t>
        </is>
      </c>
    </row>
    <row r="5" ht="42" customHeight="1">
      <c r="A5" s="10" t="inlineStr">
        <is>
          <t>BMS current pipeline page</t>
        </is>
      </c>
      <c r="B5" s="10" t="inlineStr">
        <is>
          <t>30 Jul 2026</t>
        </is>
      </c>
      <c r="C5" s="10" t="inlineStr">
        <is>
          <t>Current context; not used for matched-snapshot counts</t>
        </is>
      </c>
      <c r="D5" s="9" t="inlineStr">
        <is>
          <t>https://www.bms.com/research-and-development/pipeline.html</t>
        </is>
      </c>
    </row>
    <row r="6" ht="42" customHeight="1">
      <c r="A6" s="10" t="inlineStr">
        <is>
          <t>Reuters report on deal discussions</t>
        </is>
      </c>
      <c r="B6" s="10" t="inlineStr">
        <is>
          <t>5 Aug 2026</t>
        </is>
      </c>
      <c r="C6" s="10" t="inlineStr">
        <is>
          <t>Current-event caveat for post framing</t>
        </is>
      </c>
      <c r="D6" s="9" t="inlineStr">
        <is>
          <t>https://www.reuters.com/business/healthcare-pharmaceuticals/no-discussions-over-astrazeneca-bristol-myers-deal-senior-source-says-2026-08-05/</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s>
  <pageMargins left="0.75" right="0.75" top="1" bottom="1" header="0.5" footer="0.5"/>
  <pageSetup fitToHeight="0" fitToWidth="1"/>
</worksheet>
</file>

<file path=xl/worksheets/sheet11.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18" customWidth="1" min="1" max="1"/>
  </cols>
  <sheetData>
    <row r="1" ht="25" customHeight="1">
      <c r="A1" s="41" t="inlineStr">
        <is>
          <t>LinkedIn infographic - stacked footprint + count-based lollipop matrix</t>
        </is>
      </c>
    </row>
    <row r="2" ht="22" customHeight="1">
      <c r="A2" s="56" t="inlineStr">
        <is>
          <t>Bars use logo-inspired company colors; bubbles use a red directness scale.</t>
        </is>
      </c>
    </row>
    <row r="3" ht="20" customHeight="1"/>
    <row r="4" ht="20" customHeight="1"/>
    <row r="5" ht="20" customHeight="1"/>
    <row r="6" ht="20" customHeight="1"/>
    <row r="7" ht="20" customHeight="1"/>
    <row r="8" ht="20" customHeight="1"/>
    <row r="9" ht="20" customHeight="1"/>
    <row r="10" ht="20"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V20"/>
  <sheetViews>
    <sheetView showGridLines="0" workbookViewId="0">
      <pane ySplit="1" topLeftCell="A2" activePane="bottomLeft" state="frozen"/>
      <selection pane="bottomLeft" activeCell="A1" sqref="A1"/>
    </sheetView>
  </sheetViews>
  <sheetFormatPr baseColWidth="8" defaultRowHeight="15"/>
  <cols>
    <col width="24" customWidth="1" min="1" max="1"/>
    <col width="20" customWidth="1" min="2" max="2"/>
    <col width="20" customWidth="1" min="3" max="3"/>
    <col width="28" customWidth="1" min="4" max="4"/>
    <col width="16" customWidth="1" min="5" max="5"/>
    <col width="32" customWidth="1" min="6" max="6"/>
    <col width="18" customWidth="1" min="7" max="7"/>
    <col width="26" customWidth="1" min="8" max="8"/>
    <col width="34" customWidth="1" min="9" max="9"/>
    <col width="42" customWidth="1" min="10" max="10"/>
    <col width="19" customWidth="1" min="11" max="11"/>
    <col width="18" customWidth="1" min="12" max="12"/>
    <col width="18" customWidth="1" min="13" max="13"/>
    <col width="18" customWidth="1" min="14" max="14"/>
    <col width="18" customWidth="1" min="15" max="15"/>
    <col width="18" customWidth="1" min="16" max="16"/>
    <col width="22" customWidth="1" min="17" max="17"/>
    <col width="28" customWidth="1" min="18" max="18"/>
    <col width="28" customWidth="1" min="19" max="19"/>
    <col width="40" customWidth="1" min="20" max="20"/>
    <col width="44" customWidth="1" min="21" max="21"/>
    <col width="44" customWidth="1" min="22" max="22"/>
  </cols>
  <sheetData>
    <row r="1" ht="50" customHeight="1">
      <c r="A1" s="62" t="inlineStr">
        <is>
          <t>Disease area</t>
        </is>
      </c>
      <c r="B1" s="62" t="inlineStr">
        <is>
          <t>Overlap indication</t>
        </is>
      </c>
      <c r="C1" s="62" t="inlineStr">
        <is>
          <t>Company</t>
        </is>
      </c>
      <c r="D1" s="62" t="inlineStr">
        <is>
          <t>Program</t>
        </is>
      </c>
      <c r="E1" s="62" t="inlineStr">
        <is>
          <t>Pipeline stage</t>
        </is>
      </c>
      <c r="F1" s="62" t="inlineStr">
        <is>
          <t>Representative modality / mechanism</t>
        </is>
      </c>
      <c r="G1" s="62" t="inlineStr">
        <is>
          <t>ClinicalTrials.gov ID</t>
        </is>
      </c>
      <c r="H1" s="62" t="inlineStr">
        <is>
          <t>Representative trial</t>
        </is>
      </c>
      <c r="I1" s="62" t="inlineStr">
        <is>
          <t>Potential launch indication (analyst scenario)</t>
        </is>
      </c>
      <c r="J1" s="62" t="inlineStr">
        <is>
          <t>Clinical setting / line of therapy</t>
        </is>
      </c>
      <c r="K1" s="62" t="inlineStr">
        <is>
          <t>Primary completion date</t>
        </is>
      </c>
      <c r="L1" s="62" t="inlineStr">
        <is>
          <t>Primary completion year</t>
        </is>
      </c>
      <c r="M1" s="62" t="inlineStr">
        <is>
          <t>Launch lag - low (years)</t>
        </is>
      </c>
      <c r="N1" s="62" t="inlineStr">
        <is>
          <t>Launch lag - high (years)</t>
        </is>
      </c>
      <c r="O1" s="62" t="inlineStr">
        <is>
          <t>Illustrative launch start</t>
        </is>
      </c>
      <c r="P1" s="62" t="inlineStr">
        <is>
          <t>Illustrative launch end</t>
        </is>
      </c>
      <c r="Q1" s="62" t="inlineStr">
        <is>
          <t>Illustrative launch window</t>
        </is>
      </c>
      <c r="R1" s="62" t="inlineStr">
        <is>
          <t>Historical sales of asset</t>
        </is>
      </c>
      <c r="S1" s="62" t="inlineStr">
        <is>
          <t>Commercial benchmark IDs</t>
        </is>
      </c>
      <c r="T1" s="62" t="inlineStr">
        <is>
          <t>Trial URL</t>
        </is>
      </c>
      <c r="U1" s="62" t="inlineStr">
        <is>
          <t>Pipeline source URL</t>
        </is>
      </c>
      <c r="V1" s="62" t="inlineStr">
        <is>
          <t>Notes</t>
        </is>
      </c>
    </row>
    <row r="2">
      <c r="A2" s="3" t="inlineStr">
        <is>
          <t>Cardiovascular</t>
        </is>
      </c>
      <c r="B2" s="3" t="inlineStr">
        <is>
          <t>Heart failure</t>
        </is>
      </c>
      <c r="C2" s="63" t="inlineStr">
        <is>
          <t>AstraZeneca</t>
        </is>
      </c>
      <c r="D2" s="3" t="inlineStr">
        <is>
          <t>AZD5462</t>
        </is>
      </c>
      <c r="E2" s="3" t="inlineStr">
        <is>
          <t>Phase IIb</t>
        </is>
      </c>
      <c r="F2" s="3" t="inlineStr">
        <is>
          <t>RXFP1 agonist</t>
        </is>
      </c>
      <c r="G2" s="9" t="inlineStr">
        <is>
          <t>NCT06299826</t>
        </is>
      </c>
      <c r="H2" s="9" t="inlineStr">
        <is>
          <t>LUMINARA</t>
        </is>
      </c>
      <c r="I2" s="3" t="inlineStr">
        <is>
          <t>Chronic heart failure</t>
        </is>
      </c>
      <c r="J2" s="9" t="inlineStr">
        <is>
          <t>Stable chronic heart failure; mechanism-focused proof of concept</t>
        </is>
      </c>
      <c r="K2" s="64" t="n">
        <v>46063</v>
      </c>
      <c r="L2" s="3">
        <f>YEAR(K2)</f>
        <v/>
      </c>
      <c r="M2" s="65" t="n">
        <v>3</v>
      </c>
      <c r="N2" s="65" t="n">
        <v>5</v>
      </c>
      <c r="O2" s="3">
        <f>IF(OR(L2="",M2=""),"",L2+M2)</f>
        <v/>
      </c>
      <c r="P2" s="3">
        <f>IF(OR(L2="",N2=""),"",L2+N2)</f>
        <v/>
      </c>
      <c r="Q2" s="3">
        <f>IF(O2="","Not estimated",TEXT(O2,"0")&amp;"-"&amp;TEXT(P2,"0"))</f>
        <v/>
      </c>
      <c r="R2" s="66" t="inlineStr">
        <is>
          <t>Not launched - no historical sales</t>
        </is>
      </c>
      <c r="S2" s="3" t="inlineStr">
        <is>
          <t>HF_CAMZYOS_2025</t>
        </is>
      </c>
      <c r="T2" s="9" t="inlineStr">
        <is>
          <t>https://clinicaltrials.gov/study/NCT06299826</t>
        </is>
      </c>
      <c r="U2" s="9" t="inlineStr">
        <is>
          <t>https://www.astrazeneca.com/content/dam/az/Investor_Relations/annual-report-2025/pdf/AstraZeneca_Development_Pipeline_2025.pdf</t>
        </is>
      </c>
      <c r="V2" s="3" t="inlineStr">
        <is>
          <t>Phase IIb; no pivotal launch assumption is implied.</t>
        </is>
      </c>
    </row>
    <row r="3">
      <c r="A3" s="3" t="inlineStr">
        <is>
          <t>Cardiovascular</t>
        </is>
      </c>
      <c r="B3" s="3" t="inlineStr">
        <is>
          <t>Heart failure</t>
        </is>
      </c>
      <c r="C3" s="67" t="inlineStr">
        <is>
          <t>Bristol Myers Squibb</t>
        </is>
      </c>
      <c r="D3" s="3" t="inlineStr">
        <is>
          <t>MYK-224</t>
        </is>
      </c>
      <c r="E3" s="3" t="inlineStr">
        <is>
          <t>Phase IIa</t>
        </is>
      </c>
      <c r="F3" s="3" t="inlineStr">
        <is>
          <t>Cardiac myosin inhibitor</t>
        </is>
      </c>
      <c r="G3" s="9" t="inlineStr">
        <is>
          <t>NCT06122779</t>
        </is>
      </c>
      <c r="H3" s="9" t="inlineStr">
        <is>
          <t>AURORA-HFpEF</t>
        </is>
      </c>
      <c r="I3" s="3" t="inlineStr">
        <is>
          <t>Heart failure with preserved ejection fraction</t>
        </is>
      </c>
      <c r="J3" s="9" t="inlineStr">
        <is>
          <t>Symptomatic HFpEF; randomized placebo-controlled proof of concept</t>
        </is>
      </c>
      <c r="K3" s="64" t="n">
        <v>46206</v>
      </c>
      <c r="L3" s="3">
        <f>YEAR(K3)</f>
        <v/>
      </c>
      <c r="M3" s="65" t="n">
        <v>3</v>
      </c>
      <c r="N3" s="65" t="n">
        <v>5</v>
      </c>
      <c r="O3" s="3">
        <f>IF(OR(L3="",M3=""),"",L3+M3)</f>
        <v/>
      </c>
      <c r="P3" s="3">
        <f>IF(OR(L3="",N3=""),"",L3+N3)</f>
        <v/>
      </c>
      <c r="Q3" s="3">
        <f>IF(O3="","Not estimated",TEXT(O3,"0")&amp;"-"&amp;TEXT(P3,"0"))</f>
        <v/>
      </c>
      <c r="R3" s="66" t="inlineStr">
        <is>
          <t>Not launched - no historical sales</t>
        </is>
      </c>
      <c r="S3" s="3" t="inlineStr">
        <is>
          <t>HF_CAMZYOS_2025</t>
        </is>
      </c>
      <c r="T3" s="9" t="inlineStr">
        <is>
          <t>https://clinicaltrials.gov/study/NCT06122779</t>
        </is>
      </c>
      <c r="U3" s="9" t="inlineStr">
        <is>
          <t>https://annual-report.bms.com/assets/bms-ar/documents/2025/2025-bms-development-portfolio.pdf</t>
        </is>
      </c>
      <c r="V3" s="3" t="inlineStr">
        <is>
          <t>Cardiac myosin inhibitor; not the same indication as approved Camzyos.</t>
        </is>
      </c>
    </row>
    <row r="4">
      <c r="A4" s="3" t="inlineStr">
        <is>
          <t>Hematology</t>
        </is>
      </c>
      <c r="B4" s="3" t="inlineStr">
        <is>
          <t>B-cell lymphoma</t>
        </is>
      </c>
      <c r="C4" s="63" t="inlineStr">
        <is>
          <t>AstraZeneca</t>
        </is>
      </c>
      <c r="D4" s="3" t="inlineStr">
        <is>
          <t>surovatamig</t>
        </is>
      </c>
      <c r="E4" s="3" t="inlineStr">
        <is>
          <t>Phase III</t>
        </is>
      </c>
      <c r="F4" s="3" t="inlineStr">
        <is>
          <t>CD19/CD3 T-cell engager</t>
        </is>
      </c>
      <c r="G4" s="9" t="inlineStr">
        <is>
          <t>NCT06549595</t>
        </is>
      </c>
      <c r="H4" s="9" t="inlineStr">
        <is>
          <t>SOUNDTRACK-F1</t>
        </is>
      </c>
      <c r="I4" s="3" t="inlineStr">
        <is>
          <t>Previously untreated follicular lymphoma</t>
        </is>
      </c>
      <c r="J4" s="9" t="inlineStr">
        <is>
          <t>First-line; surovatamig plus rituximab versus chemoimmunotherapy</t>
        </is>
      </c>
      <c r="K4" s="64" t="n">
        <v>48178</v>
      </c>
      <c r="L4" s="3">
        <f>YEAR(K4)</f>
        <v/>
      </c>
      <c r="M4" s="65" t="n">
        <v>1</v>
      </c>
      <c r="N4" s="65" t="n">
        <v>2</v>
      </c>
      <c r="O4" s="3">
        <f>IF(OR(L4="",M4=""),"",L4+M4)</f>
        <v/>
      </c>
      <c r="P4" s="3">
        <f>IF(OR(L4="",N4=""),"",L4+N4)</f>
        <v/>
      </c>
      <c r="Q4" s="3">
        <f>IF(O4="","Not estimated",TEXT(O4,"0")&amp;"-"&amp;TEXT(P4,"0"))</f>
        <v/>
      </c>
      <c r="R4" s="66" t="inlineStr">
        <is>
          <t>Not launched - no historical sales</t>
        </is>
      </c>
      <c r="S4" s="3" t="inlineStr">
        <is>
          <t>LYMPHOMA_BREYANZI_2025</t>
        </is>
      </c>
      <c r="T4" s="9" t="inlineStr">
        <is>
          <t>https://clinicaltrials.gov/study/NCT06549595</t>
        </is>
      </c>
      <c r="U4" s="9" t="inlineStr">
        <is>
          <t>https://www.astrazeneca.com/content/dam/az/Investor_Relations/annual-report-2025/pdf/AstraZeneca_Development_Pipeline_2025.pdf</t>
        </is>
      </c>
      <c r="V4" s="3" t="inlineStr">
        <is>
          <t>Representative pivotal study in the B-cell lymphoma territory.</t>
        </is>
      </c>
    </row>
    <row r="5">
      <c r="A5" s="3" t="inlineStr">
        <is>
          <t>Hematology</t>
        </is>
      </c>
      <c r="B5" s="3" t="inlineStr">
        <is>
          <t>B-cell lymphoma</t>
        </is>
      </c>
      <c r="C5" s="67" t="inlineStr">
        <is>
          <t>Bristol Myers Squibb</t>
        </is>
      </c>
      <c r="D5" s="3" t="inlineStr">
        <is>
          <t>golcadomide</t>
        </is>
      </c>
      <c r="E5" s="3" t="inlineStr">
        <is>
          <t>Phase III</t>
        </is>
      </c>
      <c r="F5" s="3" t="inlineStr">
        <is>
          <t>CELMoD / targeted protein degradation</t>
        </is>
      </c>
      <c r="G5" s="9" t="inlineStr">
        <is>
          <t>NCT06356129</t>
        </is>
      </c>
      <c r="H5" s="9" t="inlineStr">
        <is>
          <t>GOLSEEK-1</t>
        </is>
      </c>
      <c r="I5" s="3" t="inlineStr">
        <is>
          <t>Previously untreated high-risk large B-cell lymphoma</t>
        </is>
      </c>
      <c r="J5" s="9" t="inlineStr">
        <is>
          <t>First-line; golcadomide plus R-CHOP</t>
        </is>
      </c>
      <c r="K5" s="64" t="n">
        <v>46979</v>
      </c>
      <c r="L5" s="3">
        <f>YEAR(K5)</f>
        <v/>
      </c>
      <c r="M5" s="65" t="n">
        <v>1</v>
      </c>
      <c r="N5" s="65" t="n">
        <v>2</v>
      </c>
      <c r="O5" s="3">
        <f>IF(OR(L5="",M5=""),"",L5+M5)</f>
        <v/>
      </c>
      <c r="P5" s="3">
        <f>IF(OR(L5="",N5=""),"",L5+N5)</f>
        <v/>
      </c>
      <c r="Q5" s="3">
        <f>IF(O5="","Not estimated",TEXT(O5,"0")&amp;"-"&amp;TEXT(P5,"0"))</f>
        <v/>
      </c>
      <c r="R5" s="66" t="inlineStr">
        <is>
          <t>Not launched - no historical sales</t>
        </is>
      </c>
      <c r="S5" s="3" t="inlineStr">
        <is>
          <t>LYMPHOMA_BREYANZI_2025</t>
        </is>
      </c>
      <c r="T5" s="9" t="inlineStr">
        <is>
          <t>https://clinicaltrials.gov/study/NCT06356129</t>
        </is>
      </c>
      <c r="U5" s="9" t="inlineStr">
        <is>
          <t>https://annual-report.bms.com/assets/bms-ar/documents/2025/2025-bms-development-portfolio.pdf</t>
        </is>
      </c>
      <c r="V5" s="3" t="inlineStr">
        <is>
          <t>Representative Phase III study; additional follicular lymphoma work is underway.</t>
        </is>
      </c>
    </row>
    <row r="6">
      <c r="A6" s="3" t="inlineStr">
        <is>
          <t>Hematology</t>
        </is>
      </c>
      <c r="B6" s="3" t="inlineStr">
        <is>
          <t>Multiple myeloma</t>
        </is>
      </c>
      <c r="C6" s="63" t="inlineStr">
        <is>
          <t>AstraZeneca</t>
        </is>
      </c>
      <c r="D6" s="3" t="inlineStr">
        <is>
          <t>AZD0120</t>
        </is>
      </c>
      <c r="E6" s="3" t="inlineStr">
        <is>
          <t>Phase Ib/II</t>
        </is>
      </c>
      <c r="F6" s="3" t="inlineStr">
        <is>
          <t>CD19/BCMA CAR-T</t>
        </is>
      </c>
      <c r="G6" s="9" t="inlineStr">
        <is>
          <t>NCT05850234</t>
        </is>
      </c>
      <c r="H6" s="9" t="inlineStr">
        <is>
          <t>DURGA-1</t>
        </is>
      </c>
      <c r="I6" s="3" t="inlineStr">
        <is>
          <t>Relapsed/refractory multiple myeloma</t>
        </is>
      </c>
      <c r="J6" s="9" t="inlineStr">
        <is>
          <t>At least three prior lines; CD19/BCMA dual CAR-T</t>
        </is>
      </c>
      <c r="K6" s="64" t="n">
        <v>46630</v>
      </c>
      <c r="L6" s="3">
        <f>YEAR(K6)</f>
        <v/>
      </c>
      <c r="M6" s="65" t="n">
        <v>4</v>
      </c>
      <c r="N6" s="65" t="n">
        <v>6</v>
      </c>
      <c r="O6" s="3">
        <f>IF(OR(L6="",M6=""),"",L6+M6)</f>
        <v/>
      </c>
      <c r="P6" s="3">
        <f>IF(OR(L6="",N6=""),"",L6+N6)</f>
        <v/>
      </c>
      <c r="Q6" s="3">
        <f>IF(O6="","Not estimated",TEXT(O6,"0")&amp;"-"&amp;TEXT(P6,"0"))</f>
        <v/>
      </c>
      <c r="R6" s="66" t="inlineStr">
        <is>
          <t>Not launched - no historical sales</t>
        </is>
      </c>
      <c r="S6" s="3" t="inlineStr">
        <is>
          <t>MM_REVLIMID_2021; MM_POMALYST_2021</t>
        </is>
      </c>
      <c r="T6" s="9" t="inlineStr">
        <is>
          <t>https://clinicaltrials.gov/study/NCT05850234</t>
        </is>
      </c>
      <c r="U6" s="9" t="inlineStr">
        <is>
          <t>https://www.astrazeneca.com/content/dam/az/Investor_Relations/annual-report-2025/pdf/AstraZeneca_Development_Pipeline_2025.pdf</t>
        </is>
      </c>
      <c r="V6" s="3" t="inlineStr">
        <is>
          <t>Early-stage CAR-T program; launch window is highly uncertain.</t>
        </is>
      </c>
    </row>
    <row r="7">
      <c r="A7" s="3" t="inlineStr">
        <is>
          <t>Hematology</t>
        </is>
      </c>
      <c r="B7" s="3" t="inlineStr">
        <is>
          <t>Multiple myeloma</t>
        </is>
      </c>
      <c r="C7" s="63" t="inlineStr">
        <is>
          <t>AstraZeneca</t>
        </is>
      </c>
      <c r="D7" s="3" t="inlineStr">
        <is>
          <t>AZD0305</t>
        </is>
      </c>
      <c r="E7" s="3" t="inlineStr">
        <is>
          <t>Phase I/II</t>
        </is>
      </c>
      <c r="F7" s="3" t="inlineStr">
        <is>
          <t>GPRC5D MMAE antibody-drug conjugate</t>
        </is>
      </c>
      <c r="G7" s="9" t="inlineStr">
        <is>
          <t>NCT06106945</t>
        </is>
      </c>
      <c r="H7" s="9" t="inlineStr">
        <is>
          <t>Modular Phase I/II study</t>
        </is>
      </c>
      <c r="I7" s="3" t="inlineStr">
        <is>
          <t>Multiple myeloma</t>
        </is>
      </c>
      <c r="J7" s="9" t="inlineStr">
        <is>
          <t>Monotherapy and combination dose escalation/expansion</t>
        </is>
      </c>
      <c r="K7" s="64" t="n">
        <v>46615</v>
      </c>
      <c r="L7" s="3">
        <f>YEAR(K7)</f>
        <v/>
      </c>
      <c r="M7" s="65" t="n">
        <v>4</v>
      </c>
      <c r="N7" s="65" t="n">
        <v>6</v>
      </c>
      <c r="O7" s="3">
        <f>IF(OR(L7="",M7=""),"",L7+M7)</f>
        <v/>
      </c>
      <c r="P7" s="3">
        <f>IF(OR(L7="",N7=""),"",L7+N7)</f>
        <v/>
      </c>
      <c r="Q7" s="3">
        <f>IF(O7="","Not estimated",TEXT(O7,"0")&amp;"-"&amp;TEXT(P7,"0"))</f>
        <v/>
      </c>
      <c r="R7" s="66" t="inlineStr">
        <is>
          <t>Not launched - no historical sales</t>
        </is>
      </c>
      <c r="S7" s="3" t="inlineStr">
        <is>
          <t>MM_REVLIMID_2021; MM_POMALYST_2021</t>
        </is>
      </c>
      <c r="T7" s="9" t="inlineStr">
        <is>
          <t>https://clinicaltrials.gov/study/NCT06106945</t>
        </is>
      </c>
      <c r="U7" s="9" t="inlineStr">
        <is>
          <t>https://www.astrazeneca.com/content/dam/az/Investor_Relations/annual-report-2025/pdf/AstraZeneca_Development_Pipeline_2025.pdf</t>
        </is>
      </c>
      <c r="V7" s="3" t="inlineStr">
        <is>
          <t>GPRC5D ADC; launch window is highly uncertain.</t>
        </is>
      </c>
    </row>
    <row r="8">
      <c r="A8" s="3" t="inlineStr">
        <is>
          <t>Hematology</t>
        </is>
      </c>
      <c r="B8" s="3" t="inlineStr">
        <is>
          <t>Multiple myeloma</t>
        </is>
      </c>
      <c r="C8" s="67" t="inlineStr">
        <is>
          <t>Bristol Myers Squibb</t>
        </is>
      </c>
      <c r="D8" s="3" t="inlineStr">
        <is>
          <t>arlo-cel</t>
        </is>
      </c>
      <c r="E8" s="3" t="inlineStr">
        <is>
          <t>Phase III</t>
        </is>
      </c>
      <c r="F8" s="3" t="inlineStr">
        <is>
          <t>GPRC5D-directed autologous CAR-T</t>
        </is>
      </c>
      <c r="G8" s="9" t="inlineStr">
        <is>
          <t>NCT06615479</t>
        </is>
      </c>
      <c r="H8" s="9" t="inlineStr">
        <is>
          <t>QUINTESSENTIAL-2</t>
        </is>
      </c>
      <c r="I8" s="3" t="inlineStr">
        <is>
          <t>Relapsed/refractory, lenalidomide-exposed multiple myeloma</t>
        </is>
      </c>
      <c r="J8" s="9" t="inlineStr">
        <is>
          <t>Relapsed/refractory setting; versus standard regimens</t>
        </is>
      </c>
      <c r="K8" s="64" t="n">
        <v>46751</v>
      </c>
      <c r="L8" s="3">
        <f>YEAR(K8)</f>
        <v/>
      </c>
      <c r="M8" s="65" t="n">
        <v>1</v>
      </c>
      <c r="N8" s="65" t="n">
        <v>2</v>
      </c>
      <c r="O8" s="3">
        <f>IF(OR(L8="",M8=""),"",L8+M8)</f>
        <v/>
      </c>
      <c r="P8" s="3">
        <f>IF(OR(L8="",N8=""),"",L8+N8)</f>
        <v/>
      </c>
      <c r="Q8" s="3">
        <f>IF(O8="","Not estimated",TEXT(O8,"0")&amp;"-"&amp;TEXT(P8,"0"))</f>
        <v/>
      </c>
      <c r="R8" s="66" t="inlineStr">
        <is>
          <t>Not launched - no historical sales</t>
        </is>
      </c>
      <c r="S8" s="3" t="inlineStr">
        <is>
          <t>MM_REVLIMID_2021; MM_POMALYST_2021</t>
        </is>
      </c>
      <c r="T8" s="9" t="inlineStr">
        <is>
          <t>https://clinicaltrials.gov/study/NCT06615479</t>
        </is>
      </c>
      <c r="U8" s="9" t="inlineStr">
        <is>
          <t>https://annual-report.bms.com/assets/bms-ar/documents/2025/2025-bms-development-portfolio.pdf</t>
        </is>
      </c>
      <c r="V8" s="3" t="inlineStr">
        <is>
          <t>GPRC5D-directed CAR-T; program also has a later-line Phase II study.</t>
        </is>
      </c>
    </row>
    <row r="9">
      <c r="A9" s="3" t="inlineStr">
        <is>
          <t>Hematology</t>
        </is>
      </c>
      <c r="B9" s="3" t="inlineStr">
        <is>
          <t>Multiple myeloma</t>
        </is>
      </c>
      <c r="C9" s="67" t="inlineStr">
        <is>
          <t>Bristol Myers Squibb</t>
        </is>
      </c>
      <c r="D9" s="3" t="inlineStr">
        <is>
          <t>iberdomide</t>
        </is>
      </c>
      <c r="E9" s="3" t="inlineStr">
        <is>
          <t>Phase III</t>
        </is>
      </c>
      <c r="F9" s="3" t="inlineStr">
        <is>
          <t>CELMoD / targeted protein degradation</t>
        </is>
      </c>
      <c r="G9" s="9" t="inlineStr">
        <is>
          <t>NCT05827016</t>
        </is>
      </c>
      <c r="H9" s="9" t="inlineStr">
        <is>
          <t>EXCALIBER-Maintenance</t>
        </is>
      </c>
      <c r="I9" s="3" t="inlineStr">
        <is>
          <t>Newly diagnosed multiple myeloma maintenance</t>
        </is>
      </c>
      <c r="J9" s="9" t="inlineStr">
        <is>
          <t>Maintenance following autologous stem-cell transplant</t>
        </is>
      </c>
      <c r="K9" s="64" t="n">
        <v>47192</v>
      </c>
      <c r="L9" s="3">
        <f>YEAR(K9)</f>
        <v/>
      </c>
      <c r="M9" s="65" t="n">
        <v>1</v>
      </c>
      <c r="N9" s="65" t="n">
        <v>2</v>
      </c>
      <c r="O9" s="3">
        <f>IF(OR(L9="",M9=""),"",L9+M9)</f>
        <v/>
      </c>
      <c r="P9" s="3">
        <f>IF(OR(L9="",N9=""),"",L9+N9)</f>
        <v/>
      </c>
      <c r="Q9" s="3">
        <f>IF(O9="","Not estimated",TEXT(O9,"0")&amp;"-"&amp;TEXT(P9,"0"))</f>
        <v/>
      </c>
      <c r="R9" s="66" t="inlineStr">
        <is>
          <t>Not launched - no historical sales</t>
        </is>
      </c>
      <c r="S9" s="3" t="inlineStr">
        <is>
          <t>MM_REVLIMID_2021; MM_POMALYST_2021</t>
        </is>
      </c>
      <c r="T9" s="9" t="inlineStr">
        <is>
          <t>https://clinicaltrials.gov/study/NCT05827016</t>
        </is>
      </c>
      <c r="U9" s="9" t="inlineStr">
        <is>
          <t>https://annual-report.bms.com/assets/bms-ar/documents/2025/2025-bms-development-portfolio.pdf</t>
        </is>
      </c>
      <c r="V9" s="3" t="inlineStr">
        <is>
          <t>Representative Phase III study; the asset has a broader development program.</t>
        </is>
      </c>
    </row>
    <row r="10">
      <c r="A10" s="3" t="inlineStr">
        <is>
          <t>Hematology</t>
        </is>
      </c>
      <c r="B10" s="3" t="inlineStr">
        <is>
          <t>Multiple myeloma</t>
        </is>
      </c>
      <c r="C10" s="67" t="inlineStr">
        <is>
          <t>Bristol Myers Squibb</t>
        </is>
      </c>
      <c r="D10" s="3" t="inlineStr">
        <is>
          <t>mezigdomide</t>
        </is>
      </c>
      <c r="E10" s="3" t="inlineStr">
        <is>
          <t>Phase III</t>
        </is>
      </c>
      <c r="F10" s="3" t="inlineStr">
        <is>
          <t>CELMoD / targeted protein degradation</t>
        </is>
      </c>
      <c r="G10" s="9" t="inlineStr">
        <is>
          <t>NCT05552976</t>
        </is>
      </c>
      <c r="H10" s="9" t="inlineStr">
        <is>
          <t>SUCCESSOR-2</t>
        </is>
      </c>
      <c r="I10" s="3" t="inlineStr">
        <is>
          <t>Relapsed/refractory multiple myeloma</t>
        </is>
      </c>
      <c r="J10" s="9" t="inlineStr">
        <is>
          <t>Mezigdomide-carfilzomib-dexamethasone versus carfilzomib-dexamethasone</t>
        </is>
      </c>
      <c r="K10" s="64" t="n">
        <v>46221</v>
      </c>
      <c r="L10" s="3">
        <f>YEAR(K10)</f>
        <v/>
      </c>
      <c r="M10" s="65" t="n">
        <v>1</v>
      </c>
      <c r="N10" s="65" t="n">
        <v>2</v>
      </c>
      <c r="O10" s="3">
        <f>IF(OR(L10="",M10=""),"",L10+M10)</f>
        <v/>
      </c>
      <c r="P10" s="3">
        <f>IF(OR(L10="",N10=""),"",L10+N10)</f>
        <v/>
      </c>
      <c r="Q10" s="3">
        <f>IF(O10="","Not estimated",TEXT(O10,"0")&amp;"-"&amp;TEXT(P10,"0"))</f>
        <v/>
      </c>
      <c r="R10" s="66" t="inlineStr">
        <is>
          <t>Not launched - no historical sales</t>
        </is>
      </c>
      <c r="S10" s="3" t="inlineStr">
        <is>
          <t>MM_REVLIMID_2021; MM_POMALYST_2021</t>
        </is>
      </c>
      <c r="T10" s="9" t="inlineStr">
        <is>
          <t>https://clinicaltrials.gov/study/NCT05552976</t>
        </is>
      </c>
      <c r="U10" s="9" t="inlineStr">
        <is>
          <t>https://annual-report.bms.com/assets/bms-ar/documents/2025/2025-bms-development-portfolio.pdf</t>
        </is>
      </c>
      <c r="V10" s="3" t="inlineStr">
        <is>
          <t>BMS reported positive Phase III results in 2026; launch timing remains an analyst scenario.</t>
        </is>
      </c>
    </row>
    <row r="11">
      <c r="A11" s="3" t="inlineStr">
        <is>
          <t>Solid-tumor oncology</t>
        </is>
      </c>
      <c r="B11" s="3" t="inlineStr">
        <is>
          <t>NSCLC</t>
        </is>
      </c>
      <c r="C11" s="63" t="inlineStr">
        <is>
          <t>AstraZeneca</t>
        </is>
      </c>
      <c r="D11" s="3" t="inlineStr">
        <is>
          <t>IPH5201</t>
        </is>
      </c>
      <c r="E11" s="3" t="inlineStr">
        <is>
          <t>Phase II</t>
        </is>
      </c>
      <c r="F11" s="3" t="inlineStr">
        <is>
          <t>CD39 monoclonal antibody</t>
        </is>
      </c>
      <c r="G11" s="9" t="inlineStr">
        <is>
          <t>NCT05742607</t>
        </is>
      </c>
      <c r="H11" s="9" t="inlineStr">
        <is>
          <t>MATISSE</t>
        </is>
      </c>
      <c r="I11" s="3" t="inlineStr">
        <is>
          <t>Resectable stage II-IIIA NSCLC</t>
        </is>
      </c>
      <c r="J11" s="9" t="inlineStr">
        <is>
          <t>Untreated; neoadjuvant therapy before surgery followed by adjuvant therapy</t>
        </is>
      </c>
      <c r="K11" s="9" t="inlineStr">
        <is>
          <t>2025-06</t>
        </is>
      </c>
      <c r="L11" s="3">
        <f>IF(K11="","",VALUE(LEFT(K11,4)))</f>
        <v/>
      </c>
      <c r="M11" s="65" t="n">
        <v>3</v>
      </c>
      <c r="N11" s="65" t="n">
        <v>5</v>
      </c>
      <c r="O11" s="3">
        <f>IF(OR(L11="",M11=""),"",L11+M11)</f>
        <v/>
      </c>
      <c r="P11" s="3">
        <f>IF(OR(L11="",N11=""),"",L11+N11)</f>
        <v/>
      </c>
      <c r="Q11" s="3">
        <f>IF(O11="","Not estimated",TEXT(O11,"0")&amp;"-"&amp;TEXT(P11,"0"))</f>
        <v/>
      </c>
      <c r="R11" s="66" t="inlineStr">
        <is>
          <t>Not launched - no historical sales</t>
        </is>
      </c>
      <c r="S11" s="3" t="inlineStr">
        <is>
          <t>NSCLC_TAGRISSO_2025; NSCLC_OPDIVO_2025</t>
        </is>
      </c>
      <c r="T11" s="9" t="inlineStr">
        <is>
          <t>https://clinicaltrials.gov/study/NCT05742607</t>
        </is>
      </c>
      <c r="U11" s="9" t="inlineStr">
        <is>
          <t>https://www.astrazeneca.com/content/dam/az/Investor_Relations/annual-report-2025/pdf/AstraZeneca_Development_Pipeline_2025.pdf</t>
        </is>
      </c>
      <c r="V11" s="3" t="inlineStr">
        <is>
          <t>Early-stage study; no pivotal launch assumption is implied.</t>
        </is>
      </c>
    </row>
    <row r="12">
      <c r="A12" s="3" t="inlineStr">
        <is>
          <t>Solid-tumor oncology</t>
        </is>
      </c>
      <c r="B12" s="3" t="inlineStr">
        <is>
          <t>NSCLC</t>
        </is>
      </c>
      <c r="C12" s="63" t="inlineStr">
        <is>
          <t>AstraZeneca</t>
        </is>
      </c>
      <c r="D12" s="3" t="inlineStr">
        <is>
          <t>rilvegostomig</t>
        </is>
      </c>
      <c r="E12" s="3" t="inlineStr">
        <is>
          <t>Phase III</t>
        </is>
      </c>
      <c r="F12" s="3" t="inlineStr">
        <is>
          <t>PD-1/TIGIT bispecific antibody</t>
        </is>
      </c>
      <c r="G12" s="9" t="inlineStr">
        <is>
          <t>NCT06692738</t>
        </is>
      </c>
      <c r="H12" s="9" t="inlineStr">
        <is>
          <t>ARTEMIDE-Lung02</t>
        </is>
      </c>
      <c r="I12" s="3" t="inlineStr">
        <is>
          <t>Metastatic squamous NSCLC, PD-L1 &gt;=1%</t>
        </is>
      </c>
      <c r="J12" s="9" t="inlineStr">
        <is>
          <t>First-line; rilvegostomig plus platinum chemotherapy</t>
        </is>
      </c>
      <c r="K12" s="64" t="n">
        <v>47154</v>
      </c>
      <c r="L12" s="3">
        <f>YEAR(K12)</f>
        <v/>
      </c>
      <c r="M12" s="65" t="n">
        <v>1</v>
      </c>
      <c r="N12" s="65" t="n">
        <v>2</v>
      </c>
      <c r="O12" s="3">
        <f>IF(OR(L12="",M12=""),"",L12+M12)</f>
        <v/>
      </c>
      <c r="P12" s="3">
        <f>IF(OR(L12="",N12=""),"",L12+N12)</f>
        <v/>
      </c>
      <c r="Q12" s="3">
        <f>IF(O12="","Not estimated",TEXT(O12,"0")&amp;"-"&amp;TEXT(P12,"0"))</f>
        <v/>
      </c>
      <c r="R12" s="66" t="inlineStr">
        <is>
          <t>Not launched - no historical sales</t>
        </is>
      </c>
      <c r="S12" s="3" t="inlineStr">
        <is>
          <t>NSCLC_TAGRISSO_2025; NSCLC_OPDIVO_2025</t>
        </is>
      </c>
      <c r="T12" s="9" t="inlineStr">
        <is>
          <t>https://clinicaltrials.gov/study/NCT06692738</t>
        </is>
      </c>
      <c r="U12" s="9" t="inlineStr">
        <is>
          <t>https://www.astrazeneca.com/content/dam/az/Investor_Relations/annual-report-2025/pdf/AstraZeneca_Development_Pipeline_2025.pdf</t>
        </is>
      </c>
      <c r="V12" s="3" t="inlineStr">
        <is>
          <t>Representative pivotal study; the asset has additional NSCLC programs.</t>
        </is>
      </c>
    </row>
    <row r="13">
      <c r="A13" s="3" t="inlineStr">
        <is>
          <t>Solid-tumor oncology</t>
        </is>
      </c>
      <c r="B13" s="3" t="inlineStr">
        <is>
          <t>NSCLC</t>
        </is>
      </c>
      <c r="C13" s="63" t="inlineStr">
        <is>
          <t>AstraZeneca</t>
        </is>
      </c>
      <c r="D13" s="3" t="inlineStr">
        <is>
          <t>volrustomig</t>
        </is>
      </c>
      <c r="E13" s="3" t="inlineStr">
        <is>
          <t>Phase III</t>
        </is>
      </c>
      <c r="F13" s="3" t="inlineStr">
        <is>
          <t>PD-1/CTLA-4 bispecific antibody</t>
        </is>
      </c>
      <c r="G13" s="9" t="inlineStr">
        <is>
          <t>NCT05984277</t>
        </is>
      </c>
      <c r="H13" s="9" t="inlineStr">
        <is>
          <t>eVOLVE-Lung02</t>
        </is>
      </c>
      <c r="I13" s="3" t="inlineStr">
        <is>
          <t>Metastatic NSCLC, PD-L1 &lt;50%</t>
        </is>
      </c>
      <c r="J13" s="9" t="inlineStr">
        <is>
          <t>First-line; volrustomig plus histology-specific chemotherapy</t>
        </is>
      </c>
      <c r="K13" s="64" t="n">
        <v>46867</v>
      </c>
      <c r="L13" s="3">
        <f>YEAR(K13)</f>
        <v/>
      </c>
      <c r="M13" s="65" t="n">
        <v>1</v>
      </c>
      <c r="N13" s="65" t="n">
        <v>2</v>
      </c>
      <c r="O13" s="3">
        <f>IF(OR(L13="",M13=""),"",L13+M13)</f>
        <v/>
      </c>
      <c r="P13" s="3">
        <f>IF(OR(L13="",N13=""),"",L13+N13)</f>
        <v/>
      </c>
      <c r="Q13" s="3">
        <f>IF(O13="","Not estimated",TEXT(O13,"0")&amp;"-"&amp;TEXT(P13,"0"))</f>
        <v/>
      </c>
      <c r="R13" s="66" t="inlineStr">
        <is>
          <t>Not launched - no historical sales</t>
        </is>
      </c>
      <c r="S13" s="3" t="inlineStr">
        <is>
          <t>NSCLC_TAGRISSO_2025; NSCLC_OPDIVO_2025</t>
        </is>
      </c>
      <c r="T13" s="9" t="inlineStr">
        <is>
          <t>https://clinicaltrials.gov/study/NCT05984277</t>
        </is>
      </c>
      <c r="U13" s="9" t="inlineStr">
        <is>
          <t>https://www.astrazeneca.com/content/dam/az/Investor_Relations/annual-report-2025/pdf/AstraZeneca_Development_Pipeline_2025.pdf</t>
        </is>
      </c>
      <c r="V13" s="3" t="inlineStr">
        <is>
          <t>Representative pivotal study.</t>
        </is>
      </c>
    </row>
    <row r="14">
      <c r="A14" s="3" t="inlineStr">
        <is>
          <t>Solid-tumor oncology</t>
        </is>
      </c>
      <c r="B14" s="3" t="inlineStr">
        <is>
          <t>NSCLC</t>
        </is>
      </c>
      <c r="C14" s="67" t="inlineStr">
        <is>
          <t>Bristol Myers Squibb</t>
        </is>
      </c>
      <c r="D14" s="3" t="inlineStr">
        <is>
          <t>izalontamab brengitecan (iza-bren)</t>
        </is>
      </c>
      <c r="E14" s="3" t="inlineStr">
        <is>
          <t>Phase II/III</t>
        </is>
      </c>
      <c r="F14" s="3" t="inlineStr">
        <is>
          <t>EGFR x HER3 bispecific antibody-drug conjugate</t>
        </is>
      </c>
      <c r="G14" s="9" t="inlineStr">
        <is>
          <t>NCT07100080</t>
        </is>
      </c>
      <c r="H14" s="9" t="inlineStr">
        <is>
          <t>IZABRIGHT-Lung01</t>
        </is>
      </c>
      <c r="I14" s="3" t="inlineStr">
        <is>
          <t>EGFR-mutated NSCLC after EGFR-TKI failure</t>
        </is>
      </c>
      <c r="J14" s="9" t="inlineStr">
        <is>
          <t>Post-EGFR TKI; compared with platinum-pemetrexed</t>
        </is>
      </c>
      <c r="K14" s="64" t="n">
        <v>47102</v>
      </c>
      <c r="L14" s="3">
        <f>YEAR(K14)</f>
        <v/>
      </c>
      <c r="M14" s="65" t="n">
        <v>1</v>
      </c>
      <c r="N14" s="65" t="n">
        <v>3</v>
      </c>
      <c r="O14" s="3">
        <f>IF(OR(L14="",M14=""),"",L14+M14)</f>
        <v/>
      </c>
      <c r="P14" s="3">
        <f>IF(OR(L14="",N14=""),"",L14+N14)</f>
        <v/>
      </c>
      <c r="Q14" s="3">
        <f>IF(O14="","Not estimated",TEXT(O14,"0")&amp;"-"&amp;TEXT(P14,"0"))</f>
        <v/>
      </c>
      <c r="R14" s="66" t="inlineStr">
        <is>
          <t>Not launched - no historical sales</t>
        </is>
      </c>
      <c r="S14" s="3" t="inlineStr">
        <is>
          <t>NSCLC_TAGRISSO_2025; NSCLC_OPDIVO_2025</t>
        </is>
      </c>
      <c r="T14" s="9" t="inlineStr">
        <is>
          <t>https://clinicaltrials.gov/study/NCT07100080</t>
        </is>
      </c>
      <c r="U14" s="9" t="inlineStr">
        <is>
          <t>https://annual-report.bms.com/assets/bms-ar/documents/2025/2025-bms-development-portfolio.pdf</t>
        </is>
      </c>
      <c r="V14" s="3" t="inlineStr">
        <is>
          <t>Phase II/III design.</t>
        </is>
      </c>
    </row>
    <row r="15">
      <c r="A15" s="3" t="inlineStr">
        <is>
          <t>Solid-tumor oncology</t>
        </is>
      </c>
      <c r="B15" s="3" t="inlineStr">
        <is>
          <t>NSCLC</t>
        </is>
      </c>
      <c r="C15" s="67" t="inlineStr">
        <is>
          <t>Bristol Myers Squibb</t>
        </is>
      </c>
      <c r="D15" s="3" t="inlineStr">
        <is>
          <t>navlimetostat</t>
        </is>
      </c>
      <c r="E15" s="3" t="inlineStr">
        <is>
          <t>Phase II</t>
        </is>
      </c>
      <c r="F15" s="3" t="inlineStr">
        <is>
          <t>PRMT5 inhibitor</t>
        </is>
      </c>
      <c r="G15" s="9" t="inlineStr">
        <is>
          <t>NCT06855771</t>
        </is>
      </c>
      <c r="H15" s="9" t="inlineStr">
        <is>
          <t>MountainTAP-9</t>
        </is>
      </c>
      <c r="I15" s="3" t="inlineStr">
        <is>
          <t>MTAP-deleted advanced or metastatic NSCLC</t>
        </is>
      </c>
      <c r="J15" s="9" t="inlineStr">
        <is>
          <t>Previously treated; after progression on prior therapies</t>
        </is>
      </c>
      <c r="K15" s="64" t="n">
        <v>47116</v>
      </c>
      <c r="L15" s="3">
        <f>YEAR(K15)</f>
        <v/>
      </c>
      <c r="M15" s="65" t="n">
        <v>3</v>
      </c>
      <c r="N15" s="65" t="n">
        <v>5</v>
      </c>
      <c r="O15" s="3">
        <f>IF(OR(L15="",M15=""),"",L15+M15)</f>
        <v/>
      </c>
      <c r="P15" s="3">
        <f>IF(OR(L15="",N15=""),"",L15+N15)</f>
        <v/>
      </c>
      <c r="Q15" s="3">
        <f>IF(O15="","Not estimated",TEXT(O15,"0")&amp;"-"&amp;TEXT(P15,"0"))</f>
        <v/>
      </c>
      <c r="R15" s="66" t="inlineStr">
        <is>
          <t>Not launched - no historical sales</t>
        </is>
      </c>
      <c r="S15" s="3" t="inlineStr">
        <is>
          <t>NSCLC_TAGRISSO_2025; NSCLC_OPDIVO_2025</t>
        </is>
      </c>
      <c r="T15" s="9" t="inlineStr">
        <is>
          <t>https://clinicaltrials.gov/study/NCT06855771</t>
        </is>
      </c>
      <c r="U15" s="9" t="inlineStr">
        <is>
          <t>https://annual-report.bms.com/assets/bms-ar/documents/2025/2025-bms-development-portfolio.pdf</t>
        </is>
      </c>
      <c r="V15" s="3" t="inlineStr">
        <is>
          <t>Phase II; a registrational path is not assumed.</t>
        </is>
      </c>
    </row>
    <row r="16">
      <c r="A16" s="3" t="inlineStr">
        <is>
          <t>Solid-tumor oncology</t>
        </is>
      </c>
      <c r="B16" s="3" t="inlineStr">
        <is>
          <t>NSCLC</t>
        </is>
      </c>
      <c r="C16" s="67" t="inlineStr">
        <is>
          <t>Bristol Myers Squibb</t>
        </is>
      </c>
      <c r="D16" s="3" t="inlineStr">
        <is>
          <t>nivolumab + relatlimab HD</t>
        </is>
      </c>
      <c r="E16" s="3" t="inlineStr">
        <is>
          <t>Phase III</t>
        </is>
      </c>
      <c r="F16" s="3" t="inlineStr">
        <is>
          <t>PD-1 plus LAG-3 immuno-oncology combination</t>
        </is>
      </c>
      <c r="G16" s="9" t="inlineStr">
        <is>
          <t>NCT06561386</t>
        </is>
      </c>
      <c r="H16" s="9" t="inlineStr">
        <is>
          <t>RELATIVITY-1093</t>
        </is>
      </c>
      <c r="I16" s="3" t="inlineStr">
        <is>
          <t>Stage IV/recurrent nonsquamous NSCLC, PD-L1 &gt;=1%</t>
        </is>
      </c>
      <c r="J16" s="9" t="inlineStr">
        <is>
          <t>First-line; nivolumab-relatlimab fixed dose plus chemotherapy</t>
        </is>
      </c>
      <c r="K16" s="64" t="n">
        <v>47694</v>
      </c>
      <c r="L16" s="3">
        <f>YEAR(K16)</f>
        <v/>
      </c>
      <c r="M16" s="65" t="n">
        <v>1</v>
      </c>
      <c r="N16" s="65" t="n">
        <v>2</v>
      </c>
      <c r="O16" s="3">
        <f>IF(OR(L16="",M16=""),"",L16+M16)</f>
        <v/>
      </c>
      <c r="P16" s="3">
        <f>IF(OR(L16="",N16=""),"",L16+N16)</f>
        <v/>
      </c>
      <c r="Q16" s="3">
        <f>IF(O16="","Not estimated",TEXT(O16,"0")&amp;"-"&amp;TEXT(P16,"0"))</f>
        <v/>
      </c>
      <c r="R16" s="66" t="inlineStr">
        <is>
          <t>Not launched - no historical sales</t>
        </is>
      </c>
      <c r="S16" s="3" t="inlineStr">
        <is>
          <t>NSCLC_TAGRISSO_2025; NSCLC_OPDIVO_2025</t>
        </is>
      </c>
      <c r="T16" s="9" t="inlineStr">
        <is>
          <t>https://clinicaltrials.gov/study/NCT06561386</t>
        </is>
      </c>
      <c r="U16" s="9" t="inlineStr">
        <is>
          <t>https://annual-report.bms.com/assets/bms-ar/documents/2025/2025-bms-development-portfolio.pdf</t>
        </is>
      </c>
      <c r="V16" s="3" t="inlineStr">
        <is>
          <t>Potential label expansion of an approved combination; counted here as an investigational program in the matched snapshot.</t>
        </is>
      </c>
    </row>
    <row r="17">
      <c r="A17" s="3" t="inlineStr">
        <is>
          <t>Solid-tumor oncology</t>
        </is>
      </c>
      <c r="B17" s="3" t="inlineStr">
        <is>
          <t>NSCLC</t>
        </is>
      </c>
      <c r="C17" s="67" t="inlineStr">
        <is>
          <t>Bristol Myers Squibb</t>
        </is>
      </c>
      <c r="D17" s="3" t="inlineStr">
        <is>
          <t>pumitamig</t>
        </is>
      </c>
      <c r="E17" s="3" t="inlineStr">
        <is>
          <t>Phase III</t>
        </is>
      </c>
      <c r="F17" s="3" t="inlineStr">
        <is>
          <t>PD-L1 x VEGF-A bispecific antibody</t>
        </is>
      </c>
      <c r="G17" s="9" t="inlineStr">
        <is>
          <t>NCT07361510</t>
        </is>
      </c>
      <c r="H17" s="9" t="inlineStr">
        <is>
          <t>ROSETTA Lung-202</t>
        </is>
      </c>
      <c r="I17" s="3" t="inlineStr">
        <is>
          <t>Advanced NSCLC, PD-L1 &gt;=50%</t>
        </is>
      </c>
      <c r="J17" s="9" t="inlineStr">
        <is>
          <t>First-line monotherapy versus pembrolizumab</t>
        </is>
      </c>
      <c r="K17" s="64" t="n">
        <v>48135</v>
      </c>
      <c r="L17" s="3">
        <f>YEAR(K17)</f>
        <v/>
      </c>
      <c r="M17" s="65" t="n">
        <v>1</v>
      </c>
      <c r="N17" s="65" t="n">
        <v>2</v>
      </c>
      <c r="O17" s="3">
        <f>IF(OR(L17="",M17=""),"",L17+M17)</f>
        <v/>
      </c>
      <c r="P17" s="3">
        <f>IF(OR(L17="",N17=""),"",L17+N17)</f>
        <v/>
      </c>
      <c r="Q17" s="3">
        <f>IF(O17="","Not estimated",TEXT(O17,"0")&amp;"-"&amp;TEXT(P17,"0"))</f>
        <v/>
      </c>
      <c r="R17" s="66" t="inlineStr">
        <is>
          <t>Not launched - no historical sales</t>
        </is>
      </c>
      <c r="S17" s="3" t="inlineStr">
        <is>
          <t>NSCLC_TAGRISSO_2025; NSCLC_OPDIVO_2025</t>
        </is>
      </c>
      <c r="T17" s="9" t="inlineStr">
        <is>
          <t>https://clinicaltrials.gov/study/NCT07361510</t>
        </is>
      </c>
      <c r="U17" s="9" t="inlineStr">
        <is>
          <t>https://annual-report.bms.com/assets/bms-ar/documents/2025/2025-bms-development-portfolio.pdf</t>
        </is>
      </c>
      <c r="V17" s="3" t="inlineStr">
        <is>
          <t>Representative Phase III study; later timing reflects the currently posted trial schedule.</t>
        </is>
      </c>
    </row>
    <row r="18">
      <c r="A18" s="3" t="inlineStr">
        <is>
          <t>Solid-tumor oncology</t>
        </is>
      </c>
      <c r="B18" s="3" t="inlineStr">
        <is>
          <t>Prostate cancer</t>
        </is>
      </c>
      <c r="C18" s="63" t="inlineStr">
        <is>
          <t>AstraZeneca</t>
        </is>
      </c>
      <c r="D18" s="3" t="inlineStr">
        <is>
          <t>FPI-2265</t>
        </is>
      </c>
      <c r="E18" s="3" t="inlineStr">
        <is>
          <t>Phase II</t>
        </is>
      </c>
      <c r="F18" s="3" t="inlineStr">
        <is>
          <t>PSMA-targeted actinium radioconjugate</t>
        </is>
      </c>
      <c r="G18" s="9" t="inlineStr">
        <is>
          <t>NCT06402331</t>
        </is>
      </c>
      <c r="H18" s="9" t="inlineStr">
        <is>
          <t>AlphaBreak</t>
        </is>
      </c>
      <c r="I18" s="3" t="inlineStr">
        <is>
          <t>PSMA-positive metastatic castration-resistant prostate cancer</t>
        </is>
      </c>
      <c r="J18" s="9" t="inlineStr">
        <is>
          <t>Post-lutetium PSMA radioligand therapy; dose optimization</t>
        </is>
      </c>
      <c r="K18" s="64" t="n">
        <v>46379</v>
      </c>
      <c r="L18" s="3">
        <f>YEAR(K18)</f>
        <v/>
      </c>
      <c r="M18" s="65" t="n">
        <v>3</v>
      </c>
      <c r="N18" s="65" t="n">
        <v>5</v>
      </c>
      <c r="O18" s="3">
        <f>IF(OR(L18="",M18=""),"",L18+M18)</f>
        <v/>
      </c>
      <c r="P18" s="3">
        <f>IF(OR(L18="",N18=""),"",L18+N18)</f>
        <v/>
      </c>
      <c r="Q18" s="3">
        <f>IF(O18="","Not estimated",TEXT(O18,"0")&amp;"-"&amp;TEXT(P18,"0"))</f>
        <v/>
      </c>
      <c r="R18" s="66" t="inlineStr">
        <is>
          <t>Not launched - no historical sales</t>
        </is>
      </c>
      <c r="S18" s="3" t="inlineStr"/>
      <c r="T18" s="9" t="inlineStr">
        <is>
          <t>https://clinicaltrials.gov/study/NCT06402331</t>
        </is>
      </c>
      <c r="U18" s="9" t="inlineStr">
        <is>
          <t>https://www.astrazeneca.com/content/dam/az/Investor_Relations/annual-report-2025/pdf/AstraZeneca_Development_Pipeline_2025.pdf</t>
        </is>
      </c>
      <c r="V18" s="3" t="inlineStr">
        <is>
          <t>Phase II; additional combination work is underway.</t>
        </is>
      </c>
    </row>
    <row r="19">
      <c r="A19" s="3" t="inlineStr">
        <is>
          <t>Solid-tumor oncology</t>
        </is>
      </c>
      <c r="B19" s="3" t="inlineStr">
        <is>
          <t>Prostate cancer</t>
        </is>
      </c>
      <c r="C19" s="63" t="inlineStr">
        <is>
          <t>AstraZeneca</t>
        </is>
      </c>
      <c r="D19" s="3" t="inlineStr">
        <is>
          <t>saruparib</t>
        </is>
      </c>
      <c r="E19" s="3" t="inlineStr">
        <is>
          <t>Phase III</t>
        </is>
      </c>
      <c r="F19" s="3" t="inlineStr">
        <is>
          <t>PARP1 inhibitor</t>
        </is>
      </c>
      <c r="G19" s="9" t="inlineStr">
        <is>
          <t>NCT06120491</t>
        </is>
      </c>
      <c r="H19" s="9" t="inlineStr">
        <is>
          <t>EvoPAR-Prostate01</t>
        </is>
      </c>
      <c r="I19" s="3" t="inlineStr">
        <is>
          <t>Metastatic castration-sensitive prostate cancer</t>
        </is>
      </c>
      <c r="J19" s="9" t="inlineStr">
        <is>
          <t>First-line metastatic setting; with physician-choice new hormonal agent</t>
        </is>
      </c>
      <c r="K19" s="64" t="n">
        <v>46660</v>
      </c>
      <c r="L19" s="3">
        <f>YEAR(K19)</f>
        <v/>
      </c>
      <c r="M19" s="65" t="n">
        <v>1</v>
      </c>
      <c r="N19" s="65" t="n">
        <v>2</v>
      </c>
      <c r="O19" s="3">
        <f>IF(OR(L19="",M19=""),"",L19+M19)</f>
        <v/>
      </c>
      <c r="P19" s="3">
        <f>IF(OR(L19="",N19=""),"",L19+N19)</f>
        <v/>
      </c>
      <c r="Q19" s="3">
        <f>IF(O19="","Not estimated",TEXT(O19,"0")&amp;"-"&amp;TEXT(P19,"0"))</f>
        <v/>
      </c>
      <c r="R19" s="66" t="inlineStr">
        <is>
          <t>Not launched - no historical sales</t>
        </is>
      </c>
      <c r="S19" s="3" t="inlineStr"/>
      <c r="T19" s="9" t="inlineStr">
        <is>
          <t>https://clinicaltrials.gov/study/NCT06120491</t>
        </is>
      </c>
      <c r="U19" s="9" t="inlineStr">
        <is>
          <t>https://www.astrazeneca.com/content/dam/az/Investor_Relations/annual-report-2025/pdf/AstraZeneca_Development_Pipeline_2025.pdf</t>
        </is>
      </c>
      <c r="V19" s="3" t="inlineStr">
        <is>
          <t>Representative Phase III prostate study.</t>
        </is>
      </c>
    </row>
    <row r="20">
      <c r="A20" s="3" t="inlineStr">
        <is>
          <t>Solid-tumor oncology</t>
        </is>
      </c>
      <c r="B20" s="3" t="inlineStr">
        <is>
          <t>Prostate cancer</t>
        </is>
      </c>
      <c r="C20" s="67" t="inlineStr">
        <is>
          <t>Bristol Myers Squibb</t>
        </is>
      </c>
      <c r="D20" s="3" t="inlineStr">
        <is>
          <t>AR ligand-directed degrader</t>
        </is>
      </c>
      <c r="E20" s="3" t="inlineStr">
        <is>
          <t>Phase III</t>
        </is>
      </c>
      <c r="F20" s="3" t="inlineStr">
        <is>
          <t>Androgen receptor ligand-directed degrader</t>
        </is>
      </c>
      <c r="G20" s="9" t="inlineStr">
        <is>
          <t>NCT06764485</t>
        </is>
      </c>
      <c r="H20" s="9" t="inlineStr">
        <is>
          <t>rechARge</t>
        </is>
      </c>
      <c r="I20" s="3" t="inlineStr">
        <is>
          <t>Metastatic castration-resistant prostate cancer</t>
        </is>
      </c>
      <c r="J20" s="9" t="inlineStr">
        <is>
          <t>After prior androgen-receptor pathway inhibitor; versus docetaxel or second ARPI</t>
        </is>
      </c>
      <c r="K20" s="64" t="n">
        <v>46642</v>
      </c>
      <c r="L20" s="3">
        <f>YEAR(K20)</f>
        <v/>
      </c>
      <c r="M20" s="65" t="n">
        <v>1</v>
      </c>
      <c r="N20" s="65" t="n">
        <v>2</v>
      </c>
      <c r="O20" s="3">
        <f>IF(OR(L20="",M20=""),"",L20+M20)</f>
        <v/>
      </c>
      <c r="P20" s="3">
        <f>IF(OR(L20="",N20=""),"",L20+N20)</f>
        <v/>
      </c>
      <c r="Q20" s="3">
        <f>IF(O20="","Not estimated",TEXT(O20,"0")&amp;"-"&amp;TEXT(P20,"0"))</f>
        <v/>
      </c>
      <c r="R20" s="66" t="inlineStr">
        <is>
          <t>Not launched - no historical sales</t>
        </is>
      </c>
      <c r="S20" s="3" t="inlineStr"/>
      <c r="T20" s="9" t="inlineStr">
        <is>
          <t>https://clinicaltrials.gov/study/NCT06764485</t>
        </is>
      </c>
      <c r="U20" s="9" t="inlineStr">
        <is>
          <t>https://annual-report.bms.com/assets/bms-ar/documents/2025/2025-bms-development-portfolio.pdf</t>
        </is>
      </c>
      <c r="V20" s="3" t="inlineStr">
        <is>
          <t>Program is also known as BMS-986365.</t>
        </is>
      </c>
    </row>
  </sheetData>
  <autoFilter ref="A1:V20"/>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O7"/>
  <sheetViews>
    <sheetView showGridLines="0" workbookViewId="0">
      <pane ySplit="1" topLeftCell="A2" activePane="bottomLeft" state="frozen"/>
      <selection pane="bottomLeft" activeCell="A1" sqref="A1"/>
    </sheetView>
  </sheetViews>
  <sheetFormatPr baseColWidth="8" defaultRowHeight="15"/>
  <cols>
    <col width="28" customWidth="1" min="1" max="1"/>
    <col width="24" customWidth="1" min="2" max="2"/>
    <col width="20" customWidth="1" min="3" max="3"/>
    <col width="20" customWidth="1" min="4" max="4"/>
    <col width="22" customWidth="1" min="5" max="5"/>
    <col width="10" customWidth="1" min="6" max="6"/>
    <col width="18" customWidth="1" min="7" max="7"/>
    <col width="24" customWidth="1" min="8" max="8"/>
    <col width="18" customWidth="1" min="9" max="9"/>
    <col width="22" customWidth="1" min="10" max="10"/>
    <col width="22" customWidth="1" min="11" max="11"/>
    <col width="32" customWidth="1" min="12" max="12"/>
    <col width="42" customWidth="1" min="13" max="13"/>
    <col width="48" customWidth="1" min="14" max="14"/>
    <col width="52" customWidth="1" min="15" max="15"/>
  </cols>
  <sheetData>
    <row r="1" ht="44" customHeight="1">
      <c r="A1" s="62" t="inlineStr">
        <is>
          <t>Benchmark ID</t>
        </is>
      </c>
      <c r="B1" s="62" t="inlineStr">
        <is>
          <t>Disease area</t>
        </is>
      </c>
      <c r="C1" s="62" t="inlineStr">
        <is>
          <t>Overlap indication</t>
        </is>
      </c>
      <c r="D1" s="62" t="inlineStr">
        <is>
          <t>Product</t>
        </is>
      </c>
      <c r="E1" s="62" t="inlineStr">
        <is>
          <t>Company</t>
        </is>
      </c>
      <c r="F1" s="62" t="inlineStr">
        <is>
          <t>Year</t>
        </is>
      </c>
      <c r="G1" s="62" t="inlineStr">
        <is>
          <t>US revenue ($m)</t>
        </is>
      </c>
      <c r="H1" s="62" t="inlineStr">
        <is>
          <t>Emerging Markets revenue ($m)</t>
        </is>
      </c>
      <c r="I1" s="62" t="inlineStr">
        <is>
          <t>Europe revenue ($m)</t>
        </is>
      </c>
      <c r="J1" s="62" t="inlineStr">
        <is>
          <t>Established ROW revenue ($m)</t>
        </is>
      </c>
      <c r="K1" s="62" t="inlineStr">
        <is>
          <t>Worldwide revenue ($m)</t>
        </is>
      </c>
      <c r="L1" s="62" t="inlineStr">
        <is>
          <t>Sales basis</t>
        </is>
      </c>
      <c r="M1" s="62" t="inlineStr">
        <is>
          <t>Relevance</t>
        </is>
      </c>
      <c r="N1" s="62" t="inlineStr">
        <is>
          <t>Limitations</t>
        </is>
      </c>
      <c r="O1" s="62" t="inlineStr">
        <is>
          <t>Source URL</t>
        </is>
      </c>
    </row>
    <row r="2">
      <c r="A2" s="3" t="inlineStr">
        <is>
          <t>NSCLC_TAGRISSO_2025</t>
        </is>
      </c>
      <c r="B2" s="3" t="inlineStr">
        <is>
          <t>Solid-tumor oncology</t>
        </is>
      </c>
      <c r="C2" s="3" t="inlineStr">
        <is>
          <t>NSCLC</t>
        </is>
      </c>
      <c r="D2" s="3" t="inlineStr">
        <is>
          <t>Tagrisso</t>
        </is>
      </c>
      <c r="E2" s="63" t="inlineStr">
        <is>
          <t>AstraZeneca</t>
        </is>
      </c>
      <c r="F2" s="3" t="n">
        <v>2025</v>
      </c>
      <c r="G2" s="68" t="n">
        <v>3064</v>
      </c>
      <c r="H2" s="68" t="n">
        <v>1971</v>
      </c>
      <c r="I2" s="68" t="n">
        <v>1423</v>
      </c>
      <c r="J2" s="68" t="n">
        <v>796</v>
      </c>
      <c r="K2" s="68">
        <f>SUM(G2:J2)</f>
        <v/>
      </c>
      <c r="L2" s="3" t="inlineStr">
        <is>
          <t>2025 product sales; calculated from company-reported regions</t>
        </is>
      </c>
      <c r="M2" s="3" t="inlineStr">
        <is>
          <t>Commercial scale benchmark for a leading NSCLC franchise.</t>
        </is>
      </c>
      <c r="N2" s="3" t="inlineStr">
        <is>
          <t>Worldwide brand revenue across approved indications; not a forecast and not specific to the overlapping programs.</t>
        </is>
      </c>
      <c r="O2" s="9" t="inlineStr">
        <is>
          <t>https://www.sec.gov/Archives/edgar/data/901832/000110465926019130/azn-20251231x20f.htm</t>
        </is>
      </c>
    </row>
    <row r="3">
      <c r="A3" s="3" t="inlineStr">
        <is>
          <t>NSCLC_OPDIVO_2025</t>
        </is>
      </c>
      <c r="B3" s="3" t="inlineStr">
        <is>
          <t>Solid-tumor oncology</t>
        </is>
      </c>
      <c r="C3" s="3" t="inlineStr">
        <is>
          <t>NSCLC</t>
        </is>
      </c>
      <c r="D3" s="3" t="inlineStr">
        <is>
          <t>Opdivo</t>
        </is>
      </c>
      <c r="E3" s="67" t="inlineStr">
        <is>
          <t>Bristol Myers Squibb</t>
        </is>
      </c>
      <c r="F3" s="3" t="n">
        <v>2025</v>
      </c>
      <c r="G3" s="68" t="n"/>
      <c r="H3" s="68" t="n"/>
      <c r="I3" s="68" t="n"/>
      <c r="J3" s="68" t="n"/>
      <c r="K3" s="68" t="n">
        <v>10000</v>
      </c>
      <c r="L3" s="3" t="inlineStr">
        <is>
          <t>2025 worldwide revenue</t>
        </is>
      </c>
      <c r="M3" s="3" t="inlineStr">
        <is>
          <t>Commercial scale benchmark for BMS immuno-oncology.</t>
        </is>
      </c>
      <c r="N3" s="3" t="inlineStr">
        <is>
          <t>All approved indications, not NSCLC-specific; used as a scale benchmark rather than a direct analogue.</t>
        </is>
      </c>
      <c r="O3" s="9" t="inlineStr">
        <is>
          <t>https://www.bms.com/investors/financial-reporting/key-facts.html</t>
        </is>
      </c>
    </row>
    <row r="4">
      <c r="A4" s="3" t="inlineStr">
        <is>
          <t>MM_REVLIMID_2021</t>
        </is>
      </c>
      <c r="B4" s="3" t="inlineStr">
        <is>
          <t>Hematology</t>
        </is>
      </c>
      <c r="C4" s="3" t="inlineStr">
        <is>
          <t>Multiple myeloma</t>
        </is>
      </c>
      <c r="D4" s="3" t="inlineStr">
        <is>
          <t>Revlimid</t>
        </is>
      </c>
      <c r="E4" s="67" t="inlineStr">
        <is>
          <t>Bristol Myers Squibb</t>
        </is>
      </c>
      <c r="F4" s="3" t="n">
        <v>2021</v>
      </c>
      <c r="G4" s="68" t="n"/>
      <c r="H4" s="68" t="n"/>
      <c r="I4" s="68" t="n"/>
      <c r="J4" s="68" t="n"/>
      <c r="K4" s="68" t="n">
        <v>12821</v>
      </c>
      <c r="L4" s="3" t="inlineStr">
        <is>
          <t>2021 worldwide revenue; historical high-water benchmark</t>
        </is>
      </c>
      <c r="M4" s="3" t="inlineStr">
        <is>
          <t>Illustrates the historic commercial scale of the multiple-myeloma franchise.</t>
        </is>
      </c>
      <c r="N4" s="3" t="inlineStr">
        <is>
          <t>Brand revenue across indications; historical revenue does not predict future asset sales.</t>
        </is>
      </c>
      <c r="O4" s="9" t="inlineStr">
        <is>
          <t>https://news.bms.com/news/details/2022/Bristol-Myers-Squibb-Reports-Fourth-Quarter-and-Full-Year-Financial-Results-for-2021/default.aspx</t>
        </is>
      </c>
    </row>
    <row r="5">
      <c r="A5" s="3" t="inlineStr">
        <is>
          <t>MM_POMALYST_2021</t>
        </is>
      </c>
      <c r="B5" s="3" t="inlineStr">
        <is>
          <t>Hematology</t>
        </is>
      </c>
      <c r="C5" s="3" t="inlineStr">
        <is>
          <t>Multiple myeloma</t>
        </is>
      </c>
      <c r="D5" s="3" t="inlineStr">
        <is>
          <t>Pomalyst / Imnovid</t>
        </is>
      </c>
      <c r="E5" s="67" t="inlineStr">
        <is>
          <t>Bristol Myers Squibb</t>
        </is>
      </c>
      <c r="F5" s="3" t="n">
        <v>2021</v>
      </c>
      <c r="G5" s="68" t="n"/>
      <c r="H5" s="68" t="n"/>
      <c r="I5" s="68" t="n"/>
      <c r="J5" s="68" t="n"/>
      <c r="K5" s="68" t="n">
        <v>3332</v>
      </c>
      <c r="L5" s="3" t="inlineStr">
        <is>
          <t>2021 worldwide revenue</t>
        </is>
      </c>
      <c r="M5" s="3" t="inlineStr">
        <is>
          <t>Additional multiple-myeloma commercial benchmark.</t>
        </is>
      </c>
      <c r="N5" s="3" t="inlineStr">
        <is>
          <t>Brand revenue across indications; not a forecast.</t>
        </is>
      </c>
      <c r="O5" s="9" t="inlineStr">
        <is>
          <t>https://news.bms.com/news/details/2022/Bristol-Myers-Squibb-Reports-Fourth-Quarter-and-Full-Year-Financial-Results-for-2021/default.aspx</t>
        </is>
      </c>
    </row>
    <row r="6">
      <c r="A6" s="3" t="inlineStr">
        <is>
          <t>LYMPHOMA_BREYANZI_2025</t>
        </is>
      </c>
      <c r="B6" s="3" t="inlineStr">
        <is>
          <t>Hematology</t>
        </is>
      </c>
      <c r="C6" s="3" t="inlineStr">
        <is>
          <t>B-cell lymphoma</t>
        </is>
      </c>
      <c r="D6" s="3" t="inlineStr">
        <is>
          <t>Breyanzi</t>
        </is>
      </c>
      <c r="E6" s="67" t="inlineStr">
        <is>
          <t>Bristol Myers Squibb</t>
        </is>
      </c>
      <c r="F6" s="3" t="n">
        <v>2025</v>
      </c>
      <c r="G6" s="68" t="n"/>
      <c r="H6" s="68" t="n"/>
      <c r="I6" s="68" t="n"/>
      <c r="J6" s="68" t="n"/>
      <c r="K6" s="68" t="n">
        <v>1400</v>
      </c>
      <c r="L6" s="3" t="inlineStr">
        <is>
          <t>2025 worldwide revenue</t>
        </is>
      </c>
      <c r="M6" s="3" t="inlineStr">
        <is>
          <t>Commercial benchmark for an established B-cell lymphoma cell-therapy franchise.</t>
        </is>
      </c>
      <c r="N6" s="3" t="inlineStr">
        <is>
          <t>All approved indications; not a direct modality match for every program.</t>
        </is>
      </c>
      <c r="O6" s="9" t="inlineStr">
        <is>
          <t>https://www.bms.com/investors/financial-reporting/key-facts.html</t>
        </is>
      </c>
    </row>
    <row r="7">
      <c r="A7" s="3" t="inlineStr">
        <is>
          <t>HF_CAMZYOS_2025</t>
        </is>
      </c>
      <c r="B7" s="3" t="inlineStr">
        <is>
          <t>Cardiovascular</t>
        </is>
      </c>
      <c r="C7" s="3" t="inlineStr">
        <is>
          <t>Heart failure</t>
        </is>
      </c>
      <c r="D7" s="3" t="inlineStr">
        <is>
          <t>Camzyos</t>
        </is>
      </c>
      <c r="E7" s="67" t="inlineStr">
        <is>
          <t>Bristol Myers Squibb</t>
        </is>
      </c>
      <c r="F7" s="3" t="n">
        <v>2025</v>
      </c>
      <c r="G7" s="68" t="n"/>
      <c r="H7" s="68" t="n"/>
      <c r="I7" s="68" t="n"/>
      <c r="J7" s="68" t="n"/>
      <c r="K7" s="68" t="n">
        <v>1100</v>
      </c>
      <c r="L7" s="3" t="inlineStr">
        <is>
          <t>2025 worldwide revenue</t>
        </is>
      </c>
      <c r="M7" s="3" t="inlineStr">
        <is>
          <t>Commercial benchmark for a cardiac-myosin franchise.</t>
        </is>
      </c>
      <c r="N7" s="3" t="inlineStr">
        <is>
          <t>Approved for obstructive hypertrophic cardiomyopathy, not HFpEF; included only as modality/franchise context.</t>
        </is>
      </c>
      <c r="O7" s="9" t="inlineStr">
        <is>
          <t>https://www.bms.com/investors/financial-reporting/key-facts.html</t>
        </is>
      </c>
    </row>
  </sheetData>
  <autoFilter ref="A1:O7"/>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J33"/>
  <sheetViews>
    <sheetView showGridLines="0" workbookViewId="0">
      <pane ySplit="1" topLeftCell="A2" activePane="bottomLeft" state="frozen"/>
      <selection pane="bottomLeft" activeCell="A1" sqref="A1"/>
    </sheetView>
  </sheetViews>
  <sheetFormatPr baseColWidth="8" defaultRowHeight="15"/>
  <cols>
    <col width="42" customWidth="1" min="1" max="1"/>
    <col width="30" customWidth="1" min="2" max="2"/>
    <col width="24" customWidth="1" min="3" max="3"/>
    <col width="28" customWidth="1" min="4" max="4"/>
    <col width="16" customWidth="1" min="5" max="5"/>
    <col width="14" customWidth="1" min="6" max="6"/>
    <col width="14" customWidth="1" min="7" max="7"/>
    <col width="14" customWidth="1" min="8" max="8"/>
    <col width="22" customWidth="1" min="9" max="9"/>
    <col width="48" customWidth="1" min="10" max="10"/>
  </cols>
  <sheetData>
    <row r="1">
      <c r="A1" s="62" t="inlineStr">
        <is>
          <t>Cell ID</t>
        </is>
      </c>
      <c r="B1" s="62" t="inlineStr">
        <is>
          <t>Disease area</t>
        </is>
      </c>
      <c r="C1" s="62" t="inlineStr">
        <is>
          <t>Plot label</t>
        </is>
      </c>
      <c r="D1" s="62" t="inlineStr">
        <is>
          <t>Factor</t>
        </is>
      </c>
      <c r="E1" s="62" t="inlineStr">
        <is>
          <t>Overlap count</t>
        </is>
      </c>
      <c r="F1" s="62" t="inlineStr">
        <is>
          <t>Directness</t>
        </is>
      </c>
      <c r="G1" s="62" t="inlineStr">
        <is>
          <t>AZ programs</t>
        </is>
      </c>
      <c r="H1" s="62" t="inlineStr">
        <is>
          <t>BMS programs</t>
        </is>
      </c>
      <c r="I1" s="62" t="inlineStr">
        <is>
          <t>Relationship</t>
        </is>
      </c>
      <c r="J1" s="62" t="inlineStr">
        <is>
          <t>Overlap units</t>
        </is>
      </c>
    </row>
    <row r="2">
      <c r="A2" s="3" t="inlineStr">
        <is>
          <t>solid-tumor-oncology--shared-indications</t>
        </is>
      </c>
      <c r="B2" s="3" t="inlineStr">
        <is>
          <t>Solid-tumor oncology</t>
        </is>
      </c>
      <c r="C2" s="3" t="inlineStr">
        <is>
          <t>Solid tumors</t>
        </is>
      </c>
      <c r="D2" s="3" t="inlineStr">
        <is>
          <t>Shared indications</t>
        </is>
      </c>
      <c r="E2" s="66" t="n">
        <v>2</v>
      </c>
      <c r="F2" s="3" t="n">
        <v>3</v>
      </c>
      <c r="G2" s="3" t="n">
        <v>11</v>
      </c>
      <c r="H2" s="3" t="n">
        <v>7</v>
      </c>
      <c r="I2" s="3" t="inlineStr">
        <is>
          <t>Strong collision</t>
        </is>
      </c>
      <c r="J2" s="3" t="inlineStr">
        <is>
          <t>NSCLC; Prostate cancer</t>
        </is>
      </c>
    </row>
    <row r="3">
      <c r="A3" s="3" t="inlineStr">
        <is>
          <t>solid-tumor-oncology--shared-modalities</t>
        </is>
      </c>
      <c r="B3" s="3" t="inlineStr">
        <is>
          <t>Solid-tumor oncology</t>
        </is>
      </c>
      <c r="C3" s="3" t="inlineStr">
        <is>
          <t>Solid tumors</t>
        </is>
      </c>
      <c r="D3" s="3" t="inlineStr">
        <is>
          <t>Shared modalities</t>
        </is>
      </c>
      <c r="E3" s="66" t="n">
        <v>4</v>
      </c>
      <c r="F3" s="3" t="n">
        <v>3</v>
      </c>
      <c r="G3" s="3" t="n">
        <v>11</v>
      </c>
      <c r="H3" s="3" t="n">
        <v>7</v>
      </c>
      <c r="I3" s="3" t="inlineStr">
        <is>
          <t>Strong collision</t>
        </is>
      </c>
      <c r="J3" s="3" t="inlineStr">
        <is>
          <t>Small-molecule targeted therapy; Bispecific / dual-target biologics; Antibody-drug conjugates; Radiopharmaceuticals</t>
        </is>
      </c>
    </row>
    <row r="4">
      <c r="A4" s="3" t="inlineStr">
        <is>
          <t>solid-tumor-oncology--shared-target-mechanism</t>
        </is>
      </c>
      <c r="B4" s="3" t="inlineStr">
        <is>
          <t>Solid-tumor oncology</t>
        </is>
      </c>
      <c r="C4" s="3" t="inlineStr">
        <is>
          <t>Solid tumors</t>
        </is>
      </c>
      <c r="D4" s="3" t="inlineStr">
        <is>
          <t>Shared target / mechanism</t>
        </is>
      </c>
      <c r="E4" s="66" t="n">
        <v>2</v>
      </c>
      <c r="F4" s="3" t="n">
        <v>3</v>
      </c>
      <c r="G4" s="3" t="n">
        <v>11</v>
      </c>
      <c r="H4" s="3" t="n">
        <v>7</v>
      </c>
      <c r="I4" s="3" t="inlineStr">
        <is>
          <t>Strong collision</t>
        </is>
      </c>
      <c r="J4" s="3" t="inlineStr">
        <is>
          <t>PD-(L)1-based immuno-oncology; EGFR-directed therapeutics</t>
        </is>
      </c>
    </row>
    <row r="5">
      <c r="A5" s="3" t="inlineStr">
        <is>
          <t>solid-tumor-oncology--stage-alignment</t>
        </is>
      </c>
      <c r="B5" s="3" t="inlineStr">
        <is>
          <t>Solid-tumor oncology</t>
        </is>
      </c>
      <c r="C5" s="3" t="inlineStr">
        <is>
          <t>Solid tumors</t>
        </is>
      </c>
      <c r="D5" s="3" t="inlineStr">
        <is>
          <t>Stage alignment</t>
        </is>
      </c>
      <c r="E5" s="66" t="n">
        <v>2</v>
      </c>
      <c r="F5" s="3" t="n">
        <v>3</v>
      </c>
      <c r="G5" s="3" t="n">
        <v>11</v>
      </c>
      <c r="H5" s="3" t="n">
        <v>7</v>
      </c>
      <c r="I5" s="3" t="inlineStr">
        <is>
          <t>Strong collision</t>
        </is>
      </c>
      <c r="J5" s="3" t="inlineStr">
        <is>
          <t>Phase II; Phase III / registration</t>
        </is>
      </c>
    </row>
    <row r="6">
      <c r="A6" s="3" t="inlineStr">
        <is>
          <t>hematology--shared-indications</t>
        </is>
      </c>
      <c r="B6" s="3" t="inlineStr">
        <is>
          <t>Hematology</t>
        </is>
      </c>
      <c r="C6" s="3" t="inlineStr">
        <is>
          <t>Hematology</t>
        </is>
      </c>
      <c r="D6" s="3" t="inlineStr">
        <is>
          <t>Shared indications</t>
        </is>
      </c>
      <c r="E6" s="66" t="n">
        <v>2</v>
      </c>
      <c r="F6" s="3" t="n">
        <v>3</v>
      </c>
      <c r="G6" s="3" t="n">
        <v>4</v>
      </c>
      <c r="H6" s="3" t="n">
        <v>4</v>
      </c>
      <c r="I6" s="3" t="inlineStr">
        <is>
          <t>Strong collision</t>
        </is>
      </c>
      <c r="J6" s="3" t="inlineStr">
        <is>
          <t>Multiple myeloma; B-cell lymphoma</t>
        </is>
      </c>
    </row>
    <row r="7">
      <c r="A7" s="3" t="inlineStr">
        <is>
          <t>hematology--shared-modalities</t>
        </is>
      </c>
      <c r="B7" s="3" t="inlineStr">
        <is>
          <t>Hematology</t>
        </is>
      </c>
      <c r="C7" s="3" t="inlineStr">
        <is>
          <t>Hematology</t>
        </is>
      </c>
      <c r="D7" s="3" t="inlineStr">
        <is>
          <t>Shared modalities</t>
        </is>
      </c>
      <c r="E7" s="66" t="n">
        <v>2</v>
      </c>
      <c r="F7" s="3" t="n">
        <v>3</v>
      </c>
      <c r="G7" s="3" t="n">
        <v>4</v>
      </c>
      <c r="H7" s="3" t="n">
        <v>4</v>
      </c>
      <c r="I7" s="3" t="inlineStr">
        <is>
          <t>Strong collision</t>
        </is>
      </c>
      <c r="J7" s="3" t="inlineStr">
        <is>
          <t>Cell therapy / CAR-T; Small-molecule targeted therapy</t>
        </is>
      </c>
    </row>
    <row r="8">
      <c r="A8" s="3" t="inlineStr">
        <is>
          <t>hematology--shared-target-mechanism</t>
        </is>
      </c>
      <c r="B8" s="3" t="inlineStr">
        <is>
          <t>Hematology</t>
        </is>
      </c>
      <c r="C8" s="3" t="inlineStr">
        <is>
          <t>Hematology</t>
        </is>
      </c>
      <c r="D8" s="3" t="inlineStr">
        <is>
          <t>Shared target / mechanism</t>
        </is>
      </c>
      <c r="E8" s="66" t="n">
        <v>1</v>
      </c>
      <c r="F8" s="3" t="n">
        <v>3</v>
      </c>
      <c r="G8" s="3" t="n">
        <v>4</v>
      </c>
      <c r="H8" s="3" t="n">
        <v>4</v>
      </c>
      <c r="I8" s="3" t="inlineStr">
        <is>
          <t>Strong collision</t>
        </is>
      </c>
      <c r="J8" s="3" t="inlineStr">
        <is>
          <t>GPRC5D</t>
        </is>
      </c>
    </row>
    <row r="9">
      <c r="A9" s="3" t="inlineStr">
        <is>
          <t>hematology--stage-alignment</t>
        </is>
      </c>
      <c r="B9" s="3" t="inlineStr">
        <is>
          <t>Hematology</t>
        </is>
      </c>
      <c r="C9" s="3" t="inlineStr">
        <is>
          <t>Hematology</t>
        </is>
      </c>
      <c r="D9" s="3" t="inlineStr">
        <is>
          <t>Stage alignment</t>
        </is>
      </c>
      <c r="E9" s="66" t="n">
        <v>1</v>
      </c>
      <c r="F9" s="3" t="n">
        <v>2</v>
      </c>
      <c r="G9" s="3" t="n">
        <v>4</v>
      </c>
      <c r="H9" s="3" t="n">
        <v>4</v>
      </c>
      <c r="I9" s="3" t="inlineStr">
        <is>
          <t>Strong collision</t>
        </is>
      </c>
      <c r="J9" s="3" t="inlineStr">
        <is>
          <t>Phase III / registration</t>
        </is>
      </c>
    </row>
    <row r="10">
      <c r="A10" s="3" t="inlineStr">
        <is>
          <t>immunology-respiratory-and-fibrosis--shared-indications</t>
        </is>
      </c>
      <c r="B10" s="3" t="inlineStr">
        <is>
          <t>Immunology, respiratory &amp; fibrosis</t>
        </is>
      </c>
      <c r="C10" s="3" t="inlineStr">
        <is>
          <t>Immunology / resp. / fibrosis</t>
        </is>
      </c>
      <c r="D10" s="3" t="inlineStr">
        <is>
          <t>Shared indications</t>
        </is>
      </c>
      <c r="E10" s="3" t="n">
        <v>0</v>
      </c>
      <c r="F10" s="3" t="n">
        <v>0</v>
      </c>
      <c r="G10" s="3" t="n">
        <v>7</v>
      </c>
      <c r="H10" s="3" t="n">
        <v>3</v>
      </c>
      <c r="I10" s="3" t="inlineStr">
        <is>
          <t>Platform adjacency</t>
        </is>
      </c>
      <c r="J10" s="3" t="inlineStr"/>
    </row>
    <row r="11">
      <c r="A11" s="3" t="inlineStr">
        <is>
          <t>immunology-respiratory-and-fibrosis--shared-modalities</t>
        </is>
      </c>
      <c r="B11" s="3" t="inlineStr">
        <is>
          <t>Immunology, respiratory &amp; fibrosis</t>
        </is>
      </c>
      <c r="C11" s="3" t="inlineStr">
        <is>
          <t>Immunology / resp. / fibrosis</t>
        </is>
      </c>
      <c r="D11" s="3" t="inlineStr">
        <is>
          <t>Shared modalities</t>
        </is>
      </c>
      <c r="E11" s="66" t="n">
        <v>2</v>
      </c>
      <c r="F11" s="3" t="n">
        <v>1</v>
      </c>
      <c r="G11" s="3" t="n">
        <v>7</v>
      </c>
      <c r="H11" s="3" t="n">
        <v>3</v>
      </c>
      <c r="I11" s="3" t="inlineStr">
        <is>
          <t>Platform adjacency</t>
        </is>
      </c>
      <c r="J11" s="3" t="inlineStr">
        <is>
          <t>Small-molecule therapy; Monoclonal antibodies / biologics</t>
        </is>
      </c>
    </row>
    <row r="12">
      <c r="A12" s="3" t="inlineStr">
        <is>
          <t>immunology-respiratory-and-fibrosis--shared-target-mechanism</t>
        </is>
      </c>
      <c r="B12" s="3" t="inlineStr">
        <is>
          <t>Immunology, respiratory &amp; fibrosis</t>
        </is>
      </c>
      <c r="C12" s="3" t="inlineStr">
        <is>
          <t>Immunology / resp. / fibrosis</t>
        </is>
      </c>
      <c r="D12" s="3" t="inlineStr">
        <is>
          <t>Shared target / mechanism</t>
        </is>
      </c>
      <c r="E12" s="3" t="n">
        <v>0</v>
      </c>
      <c r="F12" s="3" t="n">
        <v>0</v>
      </c>
      <c r="G12" s="3" t="n">
        <v>7</v>
      </c>
      <c r="H12" s="3" t="n">
        <v>3</v>
      </c>
      <c r="I12" s="3" t="inlineStr">
        <is>
          <t>Platform adjacency</t>
        </is>
      </c>
      <c r="J12" s="3" t="inlineStr"/>
    </row>
    <row r="13">
      <c r="A13" s="3" t="inlineStr">
        <is>
          <t>immunology-respiratory-and-fibrosis--stage-alignment</t>
        </is>
      </c>
      <c r="B13" s="3" t="inlineStr">
        <is>
          <t>Immunology, respiratory &amp; fibrosis</t>
        </is>
      </c>
      <c r="C13" s="3" t="inlineStr">
        <is>
          <t>Immunology / resp. / fibrosis</t>
        </is>
      </c>
      <c r="D13" s="3" t="inlineStr">
        <is>
          <t>Stage alignment</t>
        </is>
      </c>
      <c r="E13" s="66" t="n">
        <v>1</v>
      </c>
      <c r="F13" s="3" t="n">
        <v>1</v>
      </c>
      <c r="G13" s="3" t="n">
        <v>7</v>
      </c>
      <c r="H13" s="3" t="n">
        <v>3</v>
      </c>
      <c r="I13" s="3" t="inlineStr">
        <is>
          <t>Platform adjacency</t>
        </is>
      </c>
      <c r="J13" s="3" t="inlineStr">
        <is>
          <t>Phase III / registration</t>
        </is>
      </c>
    </row>
    <row r="14">
      <c r="A14" s="3" t="inlineStr">
        <is>
          <t>cardiovascular--shared-indications</t>
        </is>
      </c>
      <c r="B14" s="3" t="inlineStr">
        <is>
          <t>Cardiovascular</t>
        </is>
      </c>
      <c r="C14" s="3" t="inlineStr">
        <is>
          <t>CV</t>
        </is>
      </c>
      <c r="D14" s="3" t="inlineStr">
        <is>
          <t>Shared indications</t>
        </is>
      </c>
      <c r="E14" s="66" t="n">
        <v>1</v>
      </c>
      <c r="F14" s="3" t="n">
        <v>2</v>
      </c>
      <c r="G14" s="3" t="n">
        <v>3</v>
      </c>
      <c r="H14" s="3" t="n">
        <v>2</v>
      </c>
      <c r="I14" s="3" t="inlineStr">
        <is>
          <t>Narrow adjacency</t>
        </is>
      </c>
      <c r="J14" s="3" t="inlineStr">
        <is>
          <t>Heart failure</t>
        </is>
      </c>
    </row>
    <row r="15">
      <c r="A15" s="3" t="inlineStr">
        <is>
          <t>cardiovascular--shared-modalities</t>
        </is>
      </c>
      <c r="B15" s="3" t="inlineStr">
        <is>
          <t>Cardiovascular</t>
        </is>
      </c>
      <c r="C15" s="3" t="inlineStr">
        <is>
          <t>CV</t>
        </is>
      </c>
      <c r="D15" s="3" t="inlineStr">
        <is>
          <t>Shared modalities</t>
        </is>
      </c>
      <c r="E15" s="66" t="n">
        <v>1</v>
      </c>
      <c r="F15" s="3" t="n">
        <v>1</v>
      </c>
      <c r="G15" s="3" t="n">
        <v>3</v>
      </c>
      <c r="H15" s="3" t="n">
        <v>2</v>
      </c>
      <c r="I15" s="3" t="inlineStr">
        <is>
          <t>Narrow adjacency</t>
        </is>
      </c>
      <c r="J15" s="3" t="inlineStr">
        <is>
          <t>Small-molecule therapy</t>
        </is>
      </c>
    </row>
    <row r="16">
      <c r="A16" s="3" t="inlineStr">
        <is>
          <t>cardiovascular--shared-target-mechanism</t>
        </is>
      </c>
      <c r="B16" s="3" t="inlineStr">
        <is>
          <t>Cardiovascular</t>
        </is>
      </c>
      <c r="C16" s="3" t="inlineStr">
        <is>
          <t>CV</t>
        </is>
      </c>
      <c r="D16" s="3" t="inlineStr">
        <is>
          <t>Shared target / mechanism</t>
        </is>
      </c>
      <c r="E16" s="3" t="n">
        <v>0</v>
      </c>
      <c r="F16" s="3" t="n">
        <v>0</v>
      </c>
      <c r="G16" s="3" t="n">
        <v>3</v>
      </c>
      <c r="H16" s="3" t="n">
        <v>2</v>
      </c>
      <c r="I16" s="3" t="inlineStr">
        <is>
          <t>Narrow adjacency</t>
        </is>
      </c>
      <c r="J16" s="3" t="inlineStr"/>
    </row>
    <row r="17">
      <c r="A17" s="3" t="inlineStr">
        <is>
          <t>cardiovascular--stage-alignment</t>
        </is>
      </c>
      <c r="B17" s="3" t="inlineStr">
        <is>
          <t>Cardiovascular</t>
        </is>
      </c>
      <c r="C17" s="3" t="inlineStr">
        <is>
          <t>CV</t>
        </is>
      </c>
      <c r="D17" s="3" t="inlineStr">
        <is>
          <t>Stage alignment</t>
        </is>
      </c>
      <c r="E17" s="66" t="n">
        <v>2</v>
      </c>
      <c r="F17" s="3" t="n">
        <v>2</v>
      </c>
      <c r="G17" s="3" t="n">
        <v>3</v>
      </c>
      <c r="H17" s="3" t="n">
        <v>2</v>
      </c>
      <c r="I17" s="3" t="inlineStr">
        <is>
          <t>Narrow adjacency</t>
        </is>
      </c>
      <c r="J17" s="3" t="inlineStr">
        <is>
          <t>Phase II; Phase III / registration</t>
        </is>
      </c>
    </row>
    <row r="18">
      <c r="A18" s="3" t="inlineStr">
        <is>
          <t>rare-disease--shared-indications</t>
        </is>
      </c>
      <c r="B18" s="3" t="inlineStr">
        <is>
          <t>Rare disease</t>
        </is>
      </c>
      <c r="C18" s="3" t="inlineStr">
        <is>
          <t>Rare disease</t>
        </is>
      </c>
      <c r="D18" s="3" t="inlineStr">
        <is>
          <t>Shared indications</t>
        </is>
      </c>
      <c r="E18" s="3" t="n">
        <v>0</v>
      </c>
      <c r="F18" s="3" t="n">
        <v>0</v>
      </c>
      <c r="G18" s="3" t="n">
        <v>9</v>
      </c>
      <c r="H18" s="3" t="n">
        <v>0</v>
      </c>
      <c r="I18" s="3" t="inlineStr">
        <is>
          <t>AZ-led fit</t>
        </is>
      </c>
      <c r="J18" s="3" t="inlineStr"/>
    </row>
    <row r="19">
      <c r="A19" s="3" t="inlineStr">
        <is>
          <t>rare-disease--shared-modalities</t>
        </is>
      </c>
      <c r="B19" s="3" t="inlineStr">
        <is>
          <t>Rare disease</t>
        </is>
      </c>
      <c r="C19" s="3" t="inlineStr">
        <is>
          <t>Rare disease</t>
        </is>
      </c>
      <c r="D19" s="3" t="inlineStr">
        <is>
          <t>Shared modalities</t>
        </is>
      </c>
      <c r="E19" s="3" t="n">
        <v>0</v>
      </c>
      <c r="F19" s="3" t="n">
        <v>0</v>
      </c>
      <c r="G19" s="3" t="n">
        <v>9</v>
      </c>
      <c r="H19" s="3" t="n">
        <v>0</v>
      </c>
      <c r="I19" s="3" t="inlineStr">
        <is>
          <t>AZ-led fit</t>
        </is>
      </c>
      <c r="J19" s="3" t="inlineStr"/>
    </row>
    <row r="20">
      <c r="A20" s="3" t="inlineStr">
        <is>
          <t>rare-disease--shared-target-mechanism</t>
        </is>
      </c>
      <c r="B20" s="3" t="inlineStr">
        <is>
          <t>Rare disease</t>
        </is>
      </c>
      <c r="C20" s="3" t="inlineStr">
        <is>
          <t>Rare disease</t>
        </is>
      </c>
      <c r="D20" s="3" t="inlineStr">
        <is>
          <t>Shared target / mechanism</t>
        </is>
      </c>
      <c r="E20" s="3" t="n">
        <v>0</v>
      </c>
      <c r="F20" s="3" t="n">
        <v>0</v>
      </c>
      <c r="G20" s="3" t="n">
        <v>9</v>
      </c>
      <c r="H20" s="3" t="n">
        <v>0</v>
      </c>
      <c r="I20" s="3" t="inlineStr">
        <is>
          <t>AZ-led fit</t>
        </is>
      </c>
      <c r="J20" s="3" t="inlineStr"/>
    </row>
    <row r="21">
      <c r="A21" s="3" t="inlineStr">
        <is>
          <t>rare-disease--stage-alignment</t>
        </is>
      </c>
      <c r="B21" s="3" t="inlineStr">
        <is>
          <t>Rare disease</t>
        </is>
      </c>
      <c r="C21" s="3" t="inlineStr">
        <is>
          <t>Rare disease</t>
        </is>
      </c>
      <c r="D21" s="3" t="inlineStr">
        <is>
          <t>Stage alignment</t>
        </is>
      </c>
      <c r="E21" s="3" t="n">
        <v>0</v>
      </c>
      <c r="F21" s="3" t="n">
        <v>0</v>
      </c>
      <c r="G21" s="3" t="n">
        <v>9</v>
      </c>
      <c r="H21" s="3" t="n">
        <v>0</v>
      </c>
      <c r="I21" s="3" t="inlineStr">
        <is>
          <t>AZ-led fit</t>
        </is>
      </c>
      <c r="J21" s="3" t="inlineStr"/>
    </row>
    <row r="22">
      <c r="A22" s="3" t="inlineStr">
        <is>
          <t>renal-and-metabolic--shared-indications</t>
        </is>
      </c>
      <c r="B22" s="3" t="inlineStr">
        <is>
          <t>Renal &amp; metabolic</t>
        </is>
      </c>
      <c r="C22" s="3" t="inlineStr">
        <is>
          <t>Renal / metabolic</t>
        </is>
      </c>
      <c r="D22" s="3" t="inlineStr">
        <is>
          <t>Shared indications</t>
        </is>
      </c>
      <c r="E22" s="3" t="n">
        <v>0</v>
      </c>
      <c r="F22" s="3" t="n">
        <v>0</v>
      </c>
      <c r="G22" s="3" t="n">
        <v>7</v>
      </c>
      <c r="H22" s="3" t="n">
        <v>0</v>
      </c>
      <c r="I22" s="3" t="inlineStr">
        <is>
          <t>AZ-led fit</t>
        </is>
      </c>
      <c r="J22" s="3" t="inlineStr"/>
    </row>
    <row r="23">
      <c r="A23" s="3" t="inlineStr">
        <is>
          <t>renal-and-metabolic--shared-modalities</t>
        </is>
      </c>
      <c r="B23" s="3" t="inlineStr">
        <is>
          <t>Renal &amp; metabolic</t>
        </is>
      </c>
      <c r="C23" s="3" t="inlineStr">
        <is>
          <t>Renal / metabolic</t>
        </is>
      </c>
      <c r="D23" s="3" t="inlineStr">
        <is>
          <t>Shared modalities</t>
        </is>
      </c>
      <c r="E23" s="3" t="n">
        <v>0</v>
      </c>
      <c r="F23" s="3" t="n">
        <v>0</v>
      </c>
      <c r="G23" s="3" t="n">
        <v>7</v>
      </c>
      <c r="H23" s="3" t="n">
        <v>0</v>
      </c>
      <c r="I23" s="3" t="inlineStr">
        <is>
          <t>AZ-led fit</t>
        </is>
      </c>
      <c r="J23" s="3" t="inlineStr"/>
    </row>
    <row r="24">
      <c r="A24" s="3" t="inlineStr">
        <is>
          <t>renal-and-metabolic--shared-target-mechanism</t>
        </is>
      </c>
      <c r="B24" s="3" t="inlineStr">
        <is>
          <t>Renal &amp; metabolic</t>
        </is>
      </c>
      <c r="C24" s="3" t="inlineStr">
        <is>
          <t>Renal / metabolic</t>
        </is>
      </c>
      <c r="D24" s="3" t="inlineStr">
        <is>
          <t>Shared target / mechanism</t>
        </is>
      </c>
      <c r="E24" s="3" t="n">
        <v>0</v>
      </c>
      <c r="F24" s="3" t="n">
        <v>0</v>
      </c>
      <c r="G24" s="3" t="n">
        <v>7</v>
      </c>
      <c r="H24" s="3" t="n">
        <v>0</v>
      </c>
      <c r="I24" s="3" t="inlineStr">
        <is>
          <t>AZ-led fit</t>
        </is>
      </c>
      <c r="J24" s="3" t="inlineStr"/>
    </row>
    <row r="25">
      <c r="A25" s="3" t="inlineStr">
        <is>
          <t>renal-and-metabolic--stage-alignment</t>
        </is>
      </c>
      <c r="B25" s="3" t="inlineStr">
        <is>
          <t>Renal &amp; metabolic</t>
        </is>
      </c>
      <c r="C25" s="3" t="inlineStr">
        <is>
          <t>Renal / metabolic</t>
        </is>
      </c>
      <c r="D25" s="3" t="inlineStr">
        <is>
          <t>Stage alignment</t>
        </is>
      </c>
      <c r="E25" s="3" t="n">
        <v>0</v>
      </c>
      <c r="F25" s="3" t="n">
        <v>0</v>
      </c>
      <c r="G25" s="3" t="n">
        <v>7</v>
      </c>
      <c r="H25" s="3" t="n">
        <v>0</v>
      </c>
      <c r="I25" s="3" t="inlineStr">
        <is>
          <t>AZ-led fit</t>
        </is>
      </c>
      <c r="J25" s="3" t="inlineStr"/>
    </row>
    <row r="26">
      <c r="A26" s="3" t="inlineStr">
        <is>
          <t>infectious-disease--shared-indications</t>
        </is>
      </c>
      <c r="B26" s="3" t="inlineStr">
        <is>
          <t>Infectious disease</t>
        </is>
      </c>
      <c r="C26" s="3" t="inlineStr">
        <is>
          <t>Infectious disease</t>
        </is>
      </c>
      <c r="D26" s="3" t="inlineStr">
        <is>
          <t>Shared indications</t>
        </is>
      </c>
      <c r="E26" s="3" t="n">
        <v>0</v>
      </c>
      <c r="F26" s="3" t="n">
        <v>0</v>
      </c>
      <c r="G26" s="3" t="n">
        <v>3</v>
      </c>
      <c r="H26" s="3" t="n">
        <v>0</v>
      </c>
      <c r="I26" s="3" t="inlineStr">
        <is>
          <t>AZ-led fit</t>
        </is>
      </c>
      <c r="J26" s="3" t="inlineStr"/>
    </row>
    <row r="27">
      <c r="A27" s="3" t="inlineStr">
        <is>
          <t>infectious-disease--shared-modalities</t>
        </is>
      </c>
      <c r="B27" s="3" t="inlineStr">
        <is>
          <t>Infectious disease</t>
        </is>
      </c>
      <c r="C27" s="3" t="inlineStr">
        <is>
          <t>Infectious disease</t>
        </is>
      </c>
      <c r="D27" s="3" t="inlineStr">
        <is>
          <t>Shared modalities</t>
        </is>
      </c>
      <c r="E27" s="3" t="n">
        <v>0</v>
      </c>
      <c r="F27" s="3" t="n">
        <v>0</v>
      </c>
      <c r="G27" s="3" t="n">
        <v>3</v>
      </c>
      <c r="H27" s="3" t="n">
        <v>0</v>
      </c>
      <c r="I27" s="3" t="inlineStr">
        <is>
          <t>AZ-led fit</t>
        </is>
      </c>
      <c r="J27" s="3" t="inlineStr"/>
    </row>
    <row r="28">
      <c r="A28" s="3" t="inlineStr">
        <is>
          <t>infectious-disease--shared-target-mechanism</t>
        </is>
      </c>
      <c r="B28" s="3" t="inlineStr">
        <is>
          <t>Infectious disease</t>
        </is>
      </c>
      <c r="C28" s="3" t="inlineStr">
        <is>
          <t>Infectious disease</t>
        </is>
      </c>
      <c r="D28" s="3" t="inlineStr">
        <is>
          <t>Shared target / mechanism</t>
        </is>
      </c>
      <c r="E28" s="3" t="n">
        <v>0</v>
      </c>
      <c r="F28" s="3" t="n">
        <v>0</v>
      </c>
      <c r="G28" s="3" t="n">
        <v>3</v>
      </c>
      <c r="H28" s="3" t="n">
        <v>0</v>
      </c>
      <c r="I28" s="3" t="inlineStr">
        <is>
          <t>AZ-led fit</t>
        </is>
      </c>
      <c r="J28" s="3" t="inlineStr"/>
    </row>
    <row r="29">
      <c r="A29" s="3" t="inlineStr">
        <is>
          <t>infectious-disease--stage-alignment</t>
        </is>
      </c>
      <c r="B29" s="3" t="inlineStr">
        <is>
          <t>Infectious disease</t>
        </is>
      </c>
      <c r="C29" s="3" t="inlineStr">
        <is>
          <t>Infectious disease</t>
        </is>
      </c>
      <c r="D29" s="3" t="inlineStr">
        <is>
          <t>Stage alignment</t>
        </is>
      </c>
      <c r="E29" s="3" t="n">
        <v>0</v>
      </c>
      <c r="F29" s="3" t="n">
        <v>0</v>
      </c>
      <c r="G29" s="3" t="n">
        <v>3</v>
      </c>
      <c r="H29" s="3" t="n">
        <v>0</v>
      </c>
      <c r="I29" s="3" t="inlineStr">
        <is>
          <t>AZ-led fit</t>
        </is>
      </c>
      <c r="J29" s="3" t="inlineStr"/>
    </row>
    <row r="30">
      <c r="A30" s="3" t="inlineStr">
        <is>
          <t>neuroscience--shared-indications</t>
        </is>
      </c>
      <c r="B30" s="3" t="inlineStr">
        <is>
          <t>Neuroscience</t>
        </is>
      </c>
      <c r="C30" s="3" t="inlineStr">
        <is>
          <t>Neuroscience</t>
        </is>
      </c>
      <c r="D30" s="3" t="inlineStr">
        <is>
          <t>Shared indications</t>
        </is>
      </c>
      <c r="E30" s="3" t="n">
        <v>0</v>
      </c>
      <c r="F30" s="3" t="n">
        <v>0</v>
      </c>
      <c r="G30" s="3" t="n">
        <v>0</v>
      </c>
      <c r="H30" s="3" t="n">
        <v>2</v>
      </c>
      <c r="I30" s="3" t="inlineStr">
        <is>
          <t>BMS-led fit</t>
        </is>
      </c>
      <c r="J30" s="3" t="inlineStr"/>
    </row>
    <row r="31">
      <c r="A31" s="3" t="inlineStr">
        <is>
          <t>neuroscience--shared-modalities</t>
        </is>
      </c>
      <c r="B31" s="3" t="inlineStr">
        <is>
          <t>Neuroscience</t>
        </is>
      </c>
      <c r="C31" s="3" t="inlineStr">
        <is>
          <t>Neuroscience</t>
        </is>
      </c>
      <c r="D31" s="3" t="inlineStr">
        <is>
          <t>Shared modalities</t>
        </is>
      </c>
      <c r="E31" s="3" t="n">
        <v>0</v>
      </c>
      <c r="F31" s="3" t="n">
        <v>0</v>
      </c>
      <c r="G31" s="3" t="n">
        <v>0</v>
      </c>
      <c r="H31" s="3" t="n">
        <v>2</v>
      </c>
      <c r="I31" s="3" t="inlineStr">
        <is>
          <t>BMS-led fit</t>
        </is>
      </c>
      <c r="J31" s="3" t="inlineStr"/>
    </row>
    <row r="32">
      <c r="A32" s="3" t="inlineStr">
        <is>
          <t>neuroscience--shared-target-mechanism</t>
        </is>
      </c>
      <c r="B32" s="3" t="inlineStr">
        <is>
          <t>Neuroscience</t>
        </is>
      </c>
      <c r="C32" s="3" t="inlineStr">
        <is>
          <t>Neuroscience</t>
        </is>
      </c>
      <c r="D32" s="3" t="inlineStr">
        <is>
          <t>Shared target / mechanism</t>
        </is>
      </c>
      <c r="E32" s="3" t="n">
        <v>0</v>
      </c>
      <c r="F32" s="3" t="n">
        <v>0</v>
      </c>
      <c r="G32" s="3" t="n">
        <v>0</v>
      </c>
      <c r="H32" s="3" t="n">
        <v>2</v>
      </c>
      <c r="I32" s="3" t="inlineStr">
        <is>
          <t>BMS-led fit</t>
        </is>
      </c>
      <c r="J32" s="3" t="inlineStr"/>
    </row>
    <row r="33">
      <c r="A33" s="3" t="inlineStr">
        <is>
          <t>neuroscience--stage-alignment</t>
        </is>
      </c>
      <c r="B33" s="3" t="inlineStr">
        <is>
          <t>Neuroscience</t>
        </is>
      </c>
      <c r="C33" s="3" t="inlineStr">
        <is>
          <t>Neuroscience</t>
        </is>
      </c>
      <c r="D33" s="3" t="inlineStr">
        <is>
          <t>Stage alignment</t>
        </is>
      </c>
      <c r="E33" s="3" t="n">
        <v>0</v>
      </c>
      <c r="F33" s="3" t="n">
        <v>0</v>
      </c>
      <c r="G33" s="3" t="n">
        <v>0</v>
      </c>
      <c r="H33" s="3" t="n">
        <v>2</v>
      </c>
      <c r="I33" s="3" t="inlineStr">
        <is>
          <t>BMS-led fit</t>
        </is>
      </c>
      <c r="J33" s="3" t="inlineStr"/>
    </row>
  </sheetData>
  <autoFilter ref="A1:J33"/>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2026-08-05T15:02:51Z</dcterms:created>
  <dcterms:modified xmlns:dcterms="http://purl.org/dc/terms/" xmlns:xsi="http://www.w3.org/2001/XMLSchema-instance" xsi:type="dcterms:W3CDTF">2026-08-05T18:33:05Z</dcterms:modified>
</cp:coreProperties>
</file>