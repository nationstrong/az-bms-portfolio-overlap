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tables/table1.xml" ContentType="application/vnd.openxmlformats-officedocument.spreadsheetml.table+xml"/>
  <Override PartName="/xl/worksheets/sheet13.xml" ContentType="application/vnd.openxmlformats-officedocument.spreadsheetml.worksheet+xml"/>
  <Override PartName="/xl/tables/table2.xml" ContentType="application/vnd.openxmlformats-officedocument.spreadsheetml.table+xml"/>
  <Override PartName="/xl/worksheets/sheet14.xml" ContentType="application/vnd.openxmlformats-officedocument.spreadsheetml.worksheet+xml"/>
  <Override PartName="/xl/tables/table3.xml" ContentType="application/vnd.openxmlformats-officedocument.spreadsheetml.table+xml"/>
  <Override PartName="/xl/worksheets/sheet15.xml" ContentType="application/vnd.openxmlformats-officedocument.spreadsheetml.worksheet+xml"/>
  <Override PartName="/xl/tables/table4.xml" ContentType="application/vnd.openxmlformats-officedocument.spreadsheetml.table+xml"/>
  <Override PartName="/xl/worksheets/sheet1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eb1d4cf1e9a44f5" /></Relationships>
</file>

<file path=xl/workbook.xml><?xml version="1.0" encoding="utf-8"?>
<x:workbook xmlns:x="http://schemas.openxmlformats.org/spreadsheetml/2006/main">
  <x:sheets>
    <x:sheet xmlns:r="http://schemas.openxmlformats.org/officeDocument/2006/relationships" name="Website_README" sheetId="1" r:id="R9b5a2da9d2574fcb"/>
    <x:sheet xmlns:r="http://schemas.openxmlformats.org/officeDocument/2006/relationships" name="README" sheetId="2" r:id="R6f0b9f0fef864b93"/>
    <x:sheet xmlns:r="http://schemas.openxmlformats.org/officeDocument/2006/relationships" name="Asset_Data" sheetId="3" r:id="R4360a635b58543d0"/>
    <x:sheet xmlns:r="http://schemas.openxmlformats.org/officeDocument/2006/relationships" name="Overlap_Units" sheetId="4" r:id="R1d5dfb3464aa4f03"/>
    <x:sheet xmlns:r="http://schemas.openxmlformats.org/officeDocument/2006/relationships" name="Overlap_Matrix" sheetId="5" r:id="R2ae7472f19324dfd"/>
    <x:sheet xmlns:r="http://schemas.openxmlformats.org/officeDocument/2006/relationships" name="Plot_Data" sheetId="6" r:id="R0d73ddf7ec384cca"/>
    <x:sheet xmlns:r="http://schemas.openxmlformats.org/officeDocument/2006/relationships" name="Visual_Settings" sheetId="7" r:id="R036459189a7446a2"/>
    <x:sheet xmlns:r="http://schemas.openxmlformats.org/officeDocument/2006/relationships" name="Summary" sheetId="8" r:id="R9ddb42477a5d43e8"/>
    <x:sheet xmlns:r="http://schemas.openxmlformats.org/officeDocument/2006/relationships" name="LinkedIn_Draft" sheetId="9" r:id="R26d788a972174dcc"/>
    <x:sheet xmlns:r="http://schemas.openxmlformats.org/officeDocument/2006/relationships" name="Sources" sheetId="10" r:id="R9ee1db4b3ec74f02"/>
    <x:sheet xmlns:r="http://schemas.openxmlformats.org/officeDocument/2006/relationships" name="Infographic" sheetId="11" r:id="Ra2b348ce358546c1"/>
    <x:sheet xmlns:r="http://schemas.openxmlformats.org/officeDocument/2006/relationships" name="Fit_Collision_Matrix" sheetId="12" r:id="Rd569f30272384f2c"/>
    <x:sheet xmlns:r="http://schemas.openxmlformats.org/officeDocument/2006/relationships" name="Matrix_Program_Map" sheetId="13" r:id="R552a9df42da4461c"/>
    <x:sheet xmlns:r="http://schemas.openxmlformats.org/officeDocument/2006/relationships" name="Program_Details" sheetId="14" r:id="Ra7592040b03245d1"/>
    <x:sheet xmlns:r="http://schemas.openxmlformats.org/officeDocument/2006/relationships" name="Commercial_Benchmarks" sheetId="15" r:id="R24b62dbbe4634f12"/>
    <x:sheet xmlns:r="http://schemas.openxmlformats.org/officeDocument/2006/relationships" name="Website_Export" sheetId="16" r:id="R44355a2014b2415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Red]($#,##0);-"/>
  </x:numFmts>
  <x:fonts count="39">
    <x:font>
      <x:sz val="11"/>
      <x:color theme="1"/>
      <x:name val="Calibri"/>
    </x:font>
    <x:font>
      <x:b/>
      <x:sz val="22"/>
      <x:color rgb="FF183F35"/>
      <x:name val="Aptos Display"/>
    </x:font>
    <x:font>
      <x:b/>
      <x:color rgb="FFFFFFFF"/>
    </x:font>
    <x:font>
      <x:b/>
      <x:color rgb="FF7030A0"/>
    </x:font>
    <x:font>
      <x:color rgb="FF008000"/>
    </x:font>
    <x:font>
      <x:color rgb="FF6E756E"/>
    </x:font>
    <x:font>
      <x:b/>
      <x:sz val="20"/>
      <x:color rgb="FF183F35"/>
    </x:font>
    <x:font>
      <x:color rgb="FF000000"/>
    </x:font>
    <x:font>
      <x:b/>
      <x:color rgb="FF000000"/>
    </x:font>
    <x:font>
      <x:b/>
      <x:color rgb="FF183F35"/>
    </x:font>
    <x:font>
      <x:sz val="12"/>
      <x:color rgb="FF222222"/>
    </x:font>
    <x:font>
      <x:b/>
      <x:sz val="19"/>
      <x:color rgb="FF19212C"/>
      <x:name val="Aptos Display"/>
    </x:font>
    <x:font>
      <x:sz val="10"/>
      <x:color rgb="FF3B4657"/>
      <x:name val="Aptos"/>
    </x:font>
    <x:font>
      <x:b/>
      <x:sz val="9"/>
      <x:color rgb="FFFFFFFF"/>
      <x:name val="Aptos"/>
    </x:font>
    <x:font>
      <x:sz val="9"/>
      <x:color rgb="FF008000"/>
      <x:name val="Aptos"/>
    </x:font>
    <x:font>
      <x:sz val="9"/>
      <x:color rgb="FF0000FF"/>
      <x:name val="Aptos"/>
    </x:font>
    <x:font>
      <x:b/>
      <x:sz val="10"/>
      <x:color rgb="FFFFFFFF"/>
      <x:name val="Aptos"/>
    </x:font>
    <x:font>
      <x:b/>
      <x:sz val="10"/>
      <x:color rgb="FF9D005A"/>
      <x:name val="Aptos"/>
    </x:font>
    <x:font>
      <x:b/>
      <x:sz val="20"/>
      <x:color rgb="FF19212C"/>
      <x:name val="Aptos Display"/>
    </x:font>
    <x:font>
      <x:sz val="9"/>
      <x:color rgb="FF171A21"/>
      <x:name val="Aptos"/>
    </x:font>
    <x:font>
      <x:b/>
      <x:sz val="10"/>
      <x:color rgb="FF19212C"/>
      <x:name val="Aptos"/>
    </x:font>
    <x:font>
      <x:i/>
      <x:sz val="9"/>
      <x:color rgb="FF3B4657"/>
      <x:name val="Aptos"/>
    </x:font>
    <x:font>
      <x:b/>
      <x:sz val="16"/>
      <x:color rgb="FF19212C"/>
      <x:name val="Aptos Display"/>
    </x:font>
    <x:font>
      <x:b/>
      <x:sz val="11"/>
      <x:color rgb="FF19212C"/>
      <x:name val="Aptos"/>
    </x:font>
    <x:font>
      <x:b/>
      <x:sz val="11"/>
      <x:color rgb="FFFFFFFF"/>
      <x:name val="Arial"/>
    </x:font>
    <x:font>
      <x:sz val="10"/>
      <x:color rgb="FF404040"/>
      <x:name val="Arial"/>
    </x:font>
    <x:font>
      <x:b/>
      <x:sz val="16"/>
      <x:color rgb="FFFFFFFF"/>
      <x:name val="Arial"/>
    </x:font>
    <x:font>
      <x:b/>
      <x:sz val="10"/>
      <x:color rgb="FFFFFFFF"/>
      <x:name val="Arial"/>
    </x:font>
    <x:font>
      <x:b/>
      <x:color rgb="FF182230"/>
    </x:font>
    <x:font>
      <x:b/>
      <x:sz val="10"/>
      <x:color rgb="FF404040"/>
      <x:name val="Arial"/>
    </x:font>
    <x:font>
      <x:b/>
      <x:sz val="20"/>
      <x:color rgb="FFFFFFFF"/>
      <x:name val="Aptos Display"/>
    </x:font>
    <x:font>
      <x:b/>
      <x:color rgb="FF172231"/>
    </x:font>
    <x:font>
      <x:b/>
      <x:color rgb="FF8A1F68"/>
    </x:font>
    <x:font>
      <x:color rgb="FF0000FF"/>
    </x:font>
    <x:font>
      <x:b/>
      <x:color rgb="FF283B75"/>
    </x:font>
    <x:font>
      <x:b/>
      <x:sz val="18"/>
      <x:color rgb="FFFFFFFF"/>
      <x:name val="Aptos Display"/>
    </x:font>
    <x:font>
      <x:i/>
      <x:color rgb="FF667085"/>
    </x:font>
    <x:font>
      <x:color rgb="FF008000"/>
    </x:font>
    <x:font>
      <x:color rgb="FF667085"/>
    </x:font>
  </x:fonts>
  <x:fills count="33">
    <x:fill>
      <x:patternFill patternType="none"/>
    </x:fill>
    <x:fill>
      <x:patternFill patternType="gray125"/>
    </x:fill>
    <x:fill>
      <x:patternFill patternType="solid">
        <x:fgColor rgb="FF183F35"/>
      </x:patternFill>
    </x:fill>
    <x:fill>
      <x:patternFill patternType="solid">
        <x:fgColor rgb="FFC65911"/>
      </x:patternFill>
    </x:fill>
    <x:fill>
      <x:patternFill patternType="solid">
        <x:fgColor rgb="FFFCE4D6"/>
      </x:patternFill>
    </x:fill>
    <x:fill>
      <x:patternFill patternType="solid">
        <x:fgColor rgb="FFF4DDE9"/>
      </x:patternFill>
    </x:fill>
    <x:fill>
      <x:patternFill patternType="solid">
        <x:fgColor rgb="FFF2DDF2"/>
      </x:patternFill>
    </x:fill>
    <x:fill>
      <x:patternFill patternType="solid">
        <x:fgColor rgb="FFF7F3E7"/>
      </x:patternFill>
    </x:fill>
    <x:fill>
      <x:patternFill patternType="solid">
        <x:fgColor rgb="FFF5F2EE"/>
      </x:patternFill>
    </x:fill>
    <x:fill>
      <x:patternFill patternType="solid">
        <x:fgColor rgb="FF19212C"/>
      </x:patternFill>
    </x:fill>
    <x:fill>
      <x:patternFill patternType="solid">
        <x:fgColor rgb="FFD60073"/>
      </x:patternFill>
    </x:fill>
    <x:fill>
      <x:patternFill patternType="solid">
        <x:fgColor rgb="FFF05F9D"/>
      </x:patternFill>
    </x:fill>
    <x:fill>
      <x:patternFill patternType="solid">
        <x:fgColor rgb="FFF5C6DC"/>
      </x:patternFill>
    </x:fill>
    <x:fill>
      <x:patternFill patternType="solid">
        <x:fgColor rgb="FFF9F7F4"/>
      </x:patternFill>
    </x:fill>
    <x:fill>
      <x:patternFill patternType="solid">
        <x:fgColor rgb="FF7A1F63"/>
      </x:patternFill>
    </x:fill>
    <x:fill>
      <x:patternFill patternType="solid">
        <x:fgColor rgb="FF17212D"/>
      </x:patternFill>
    </x:fill>
    <x:fill>
      <x:patternFill patternType="solid">
        <x:fgColor rgb="FF344054"/>
      </x:patternFill>
    </x:fill>
    <x:fill>
      <x:patternFill patternType="solid">
        <x:fgColor rgb="FFD7A900"/>
      </x:patternFill>
    </x:fill>
    <x:fill>
      <x:patternFill patternType="solid">
        <x:fgColor rgb="FF263B73"/>
      </x:patternFill>
    </x:fill>
    <x:fill>
      <x:patternFill patternType="solid">
        <x:fgColor rgb="FF76519A"/>
      </x:patternFill>
    </x:fill>
    <x:fill>
      <x:patternFill patternType="solid">
        <x:fgColor rgb="FFF7D3D0"/>
      </x:patternFill>
    </x:fill>
    <x:fill>
      <x:patternFill patternType="solid">
        <x:fgColor rgb="FFED756D"/>
      </x:patternFill>
    </x:fill>
    <x:fill>
      <x:patternFill patternType="solid">
        <x:fgColor rgb="FFC51F36"/>
      </x:patternFill>
    </x:fill>
    <x:fill>
      <x:patternFill patternType="solid">
        <x:fgColor rgb="FF8E1829"/>
      </x:patternFill>
    </x:fill>
    <x:fill>
      <x:patternFill patternType="solid">
        <x:fgColor rgb="FFF4F1EC"/>
      </x:patternFill>
    </x:fill>
    <x:fill>
      <x:patternFill patternType="solid">
        <x:fgColor rgb="FFFFFFFF"/>
      </x:patternFill>
    </x:fill>
    <x:fill>
      <x:patternFill patternType="solid">
        <x:fgColor rgb="FF182230"/>
      </x:patternFill>
    </x:fill>
    <x:fill>
      <x:patternFill patternType="solid">
        <x:fgColor rgb="FF172231"/>
      </x:patternFill>
    </x:fill>
    <x:fill>
      <x:patternFill patternType="solid">
        <x:fgColor rgb="FFF8F6F2"/>
      </x:patternFill>
    </x:fill>
    <x:fill>
      <x:patternFill patternType="solid">
        <x:fgColor rgb="FFFFF1F2"/>
      </x:patternFill>
    </x:fill>
    <x:fill>
      <x:patternFill patternType="solid">
        <x:fgColor rgb="FF283B75"/>
      </x:patternFill>
    </x:fill>
    <x:fill>
      <x:patternFill patternType="solid">
        <x:fgColor rgb="FF8A1F68"/>
      </x:patternFill>
    </x:fill>
    <x:fill>
      <x:patternFill patternType="solid">
        <x:fgColor rgb="FFCE1F3A"/>
      </x:patternFill>
    </x:fill>
  </x:fills>
  <x:borders count="3">
    <x:border/>
    <x:border>
      <x:top style="thin">
        <x:color rgb="FF183F35"/>
      </x:top>
    </x:border>
    <x:border>
      <x:bottom style="thin">
        <x:color rgb="FFDDD8D2"/>
      </x:bottom>
    </x:border>
  </x:borders>
  <x:cellStyleXfs count="1">
    <x:xf numFmtId="0" fontId="0" fillId="0" borderId="0"/>
  </x:cellStyleXfs>
  <x:cellXfs count="79">
    <x:xf numFmtId="0" fontId="0" fillId="0" borderId="0" xfId="0"/>
    <x:xf numFmtId="0" fontId="1" fillId="0" borderId="0" xfId="0"/>
    <x:xf numFmtId="0" fontId="2" fillId="2" borderId="0" xfId="0"/>
    <x:xf numFmtId="0" fontId="0" fillId="0" borderId="0" xfId="0" applyAlignment="1">
      <x:alignment vertical="top" wrapText="1"/>
    </x:xf>
    <x:xf numFmtId="0" fontId="3" fillId="0" borderId="0" xfId="0"/>
    <x:xf numFmtId="0" fontId="2" fillId="3" borderId="0" xfId="0"/>
    <x:xf numFmtId="0" fontId="0" fillId="4" borderId="0" xfId="0" applyAlignment="1">
      <x:alignment vertical="top" wrapText="1"/>
    </x:xf>
    <x:xf numFmtId="0" fontId="2" fillId="2" borderId="0" xfId="0" applyAlignment="1">
      <x:alignment vertical="center" wrapText="1"/>
    </x:xf>
    <x:xf numFmtId="0" fontId="4" fillId="5" borderId="0" xfId="0" applyAlignment="1">
      <x:alignment vertical="top" wrapText="1"/>
    </x:xf>
    <x:xf numFmtId="0" fontId="4" fillId="0" borderId="0" xfId="0" applyAlignment="1">
      <x:alignment vertical="top" wrapText="1"/>
    </x:xf>
    <x:xf numFmtId="0" fontId="5" fillId="0" borderId="0" xfId="0" applyAlignment="1">
      <x:alignment vertical="top" wrapText="1"/>
    </x:xf>
    <x:xf numFmtId="0" fontId="4" fillId="6" borderId="0" xfId="0" applyAlignment="1">
      <x:alignment vertical="top" wrapText="1"/>
    </x:xf>
    <x:xf numFmtId="0" fontId="6" fillId="0" borderId="0" xfId="0"/>
    <x:xf numFmtId="0" fontId="2" fillId="2" borderId="0" xfId="0" applyAlignment="1">
      <x:alignment wrapText="1"/>
    </x:xf>
    <x:xf numFmtId="0" fontId="0" fillId="7" borderId="0" xfId="0"/>
    <x:xf numFmtId="0" fontId="7" fillId="7" borderId="0" xfId="0"/>
    <x:xf numFmtId="0" fontId="8" fillId="7" borderId="0" xfId="0"/>
    <x:xf numFmtId="9" fontId="7" fillId="7" borderId="0" xfId="0"/>
    <x:xf numFmtId="0" fontId="7" fillId="0" borderId="0" xfId="0"/>
    <x:xf numFmtId="0" fontId="8" fillId="0" borderId="0" xfId="0"/>
    <x:xf numFmtId="9" fontId="7" fillId="0" borderId="0" xfId="0"/>
    <x:xf numFmtId="0" fontId="9" fillId="0" borderId="1" xfId="0"/>
    <x:xf numFmtId="0" fontId="10" fillId="0" borderId="0" xfId="0" applyAlignment="1">
      <x:alignment vertical="top" wrapText="1"/>
    </x:xf>
    <x:xf numFmtId="0" fontId="0" fillId="0" borderId="0" xfId="0" applyAlignment="1">
      <x:alignment wrapText="1"/>
    </x:xf>
    <x:xf numFmtId="0" fontId="23" fillId="0" borderId="0" xfId="0"/>
    <x:xf numFmtId="0" fontId="11" fillId="8" borderId="0" xfId="0"/>
    <x:xf numFmtId="0" fontId="12" fillId="0" borderId="0" xfId="0" applyAlignment="1">
      <x:alignment vertical="top" wrapText="1"/>
    </x:xf>
    <x:xf numFmtId="0" fontId="13" fillId="9" borderId="2" xfId="0" applyAlignment="1">
      <x:alignment vertical="center" wrapText="1"/>
    </x:xf>
    <x:xf numFmtId="0" fontId="14" fillId="0" borderId="2" xfId="0" applyAlignment="1">
      <x:alignment vertical="top" wrapText="1"/>
    </x:xf>
    <x:xf numFmtId="0" fontId="16" fillId="10" borderId="2" xfId="0" applyAlignment="1">
      <x:alignment horizontal="center" vertical="center"/>
    </x:xf>
    <x:xf numFmtId="0" fontId="16" fillId="11" borderId="2" xfId="0" applyAlignment="1">
      <x:alignment horizontal="center" vertical="center"/>
    </x:xf>
    <x:xf numFmtId="0" fontId="17" fillId="12" borderId="2" xfId="0" applyAlignment="1">
      <x:alignment horizontal="center" vertical="center"/>
    </x:xf>
    <x:xf numFmtId="0" fontId="18" fillId="8" borderId="0" xfId="0"/>
    <x:xf numFmtId="0" fontId="19" fillId="0" borderId="2" xfId="0" applyAlignment="1">
      <x:alignment vertical="center" wrapText="1"/>
    </x:xf>
    <x:xf numFmtId="0" fontId="19" fillId="0" borderId="2" xfId="0" applyAlignment="1">
      <x:alignment horizontal="center" vertical="center"/>
    </x:xf>
    <x:xf numFmtId="0" fontId="20" fillId="13" borderId="2" xfId="0" applyAlignment="1">
      <x:alignment horizontal="center" vertical="center"/>
    </x:xf>
    <x:xf numFmtId="0" fontId="21" fillId="0" borderId="0" xfId="0" applyAlignment="1">
      <x:alignment wrapText="1"/>
    </x:xf>
    <x:xf numFmtId="0" fontId="13" fillId="9" borderId="0" xfId="0"/>
    <x:xf numFmtId="0" fontId="22" fillId="0" borderId="0" xfId="0"/>
    <x:xf numFmtId="0" fontId="24" fillId="14" borderId="0" xfId="0"/>
    <x:xf numFmtId="0" fontId="25" fillId="0" borderId="0" xfId="0" applyAlignment="1">
      <x:alignment vertical="top" wrapText="1"/>
    </x:xf>
    <x:xf numFmtId="0" fontId="26" fillId="15" borderId="0" xfId="0"/>
    <x:xf numFmtId="0" fontId="27" fillId="16" borderId="0" xfId="0" applyAlignment="1">
      <x:alignment vertical="center"/>
    </x:xf>
    <x:xf numFmtId="0" fontId="25" fillId="0" borderId="0" xfId="0" applyAlignment="1">
      <x:alignment vertical="center" wrapText="1"/>
    </x:xf>
    <x:xf numFmtId="0" fontId="2" fillId="14" borderId="0" xfId="0" applyAlignment="1">
      <x:alignment vertical="center" wrapText="1"/>
    </x:xf>
    <x:xf numFmtId="0" fontId="2" fillId="17" borderId="0" xfId="0" applyAlignment="1">
      <x:alignment vertical="center" wrapText="1"/>
    </x:xf>
    <x:xf numFmtId="0" fontId="2" fillId="18" borderId="0" xfId="0" applyAlignment="1">
      <x:alignment vertical="center" wrapText="1"/>
    </x:xf>
    <x:xf numFmtId="0" fontId="2" fillId="19" borderId="0" xfId="0" applyAlignment="1">
      <x:alignment vertical="center" wrapText="1"/>
    </x:xf>
    <x:xf numFmtId="0" fontId="28" fillId="20" borderId="0" xfId="0" applyAlignment="1">
      <x:alignment vertical="center" wrapText="1"/>
    </x:xf>
    <x:xf numFmtId="0" fontId="2" fillId="21" borderId="0" xfId="0" applyAlignment="1">
      <x:alignment vertical="center" wrapText="1"/>
    </x:xf>
    <x:xf numFmtId="0" fontId="2" fillId="22" borderId="0" xfId="0" applyAlignment="1">
      <x:alignment vertical="center" wrapText="1"/>
    </x:xf>
    <x:xf numFmtId="0" fontId="2" fillId="23" borderId="0" xfId="0" applyAlignment="1">
      <x:alignment vertical="center" wrapText="1"/>
    </x:xf>
    <x:xf numFmtId="0" fontId="28" fillId="24" borderId="0" xfId="0" applyAlignment="1">
      <x:alignment vertical="center" wrapText="1"/>
    </x:xf>
    <x:xf numFmtId="0" fontId="28" fillId="25" borderId="0" xfId="0" applyAlignment="1">
      <x:alignment vertical="center" wrapText="1"/>
    </x:xf>
    <x:xf numFmtId="0" fontId="2" fillId="26" borderId="0" xfId="0" applyAlignment="1">
      <x:alignment vertical="center" wrapText="1"/>
    </x:xf>
    <x:xf numFmtId="0" fontId="29" fillId="0" borderId="0" xfId="0"/>
    <x:xf numFmtId="0" fontId="25" fillId="0" borderId="0" xfId="0"/>
    <x:xf numFmtId="0" fontId="30" fillId="27" borderId="0" xfId="0" applyAlignment="1">
      <x:alignment vertical="center"/>
    </x:xf>
    <x:xf numFmtId="0" fontId="31" fillId="28" borderId="0" xfId="0"/>
    <x:xf numFmtId="0" fontId="0" fillId="28" borderId="0" xfId="0" applyAlignment="1">
      <x:alignment vertical="top" wrapText="1"/>
    </x:xf>
    <x:xf numFmtId="0" fontId="0" fillId="28" borderId="0" xfId="0"/>
    <x:xf numFmtId="0" fontId="31" fillId="0" borderId="0" xfId="0"/>
    <x:xf numFmtId="0" fontId="2" fillId="27" borderId="0" xfId="0" applyAlignment="1">
      <x:alignment vertical="center" wrapText="1"/>
    </x:xf>
    <x:xf numFmtId="0" fontId="32" fillId="0" borderId="0" xfId="0" applyAlignment="1">
      <x:alignment vertical="top" wrapText="1"/>
    </x:xf>
    <x:xf numFmtId="164" fontId="4" fillId="0" borderId="0" xfId="0" applyAlignment="1">
      <x:alignment vertical="top" wrapText="1"/>
    </x:xf>
    <x:xf numFmtId="0" fontId="33" fillId="0" borderId="0" xfId="0" applyAlignment="1">
      <x:alignment vertical="top" wrapText="1"/>
    </x:xf>
    <x:xf numFmtId="0" fontId="0" fillId="29" borderId="0" xfId="0" applyAlignment="1">
      <x:alignment vertical="top" wrapText="1"/>
    </x:xf>
    <x:xf numFmtId="0" fontId="34" fillId="0" borderId="0" xfId="0" applyAlignment="1">
      <x:alignment vertical="top" wrapText="1"/>
    </x:xf>
    <x:xf numFmtId="165" fontId="0" fillId="0" borderId="0" xfId="0" applyAlignment="1">
      <x:alignment vertical="top" wrapText="1"/>
    </x:xf>
    <x:xf numFmtId="0" fontId="38" fillId="0" borderId="0" xfId="0" applyAlignment="1">
      <x:alignment vertical="top" wrapText="1"/>
    </x:xf>
    <x:xf numFmtId="0" fontId="35" fillId="27" borderId="0" xfId="0" applyAlignment="1">
      <x:alignment vertical="center"/>
    </x:xf>
    <x:xf numFmtId="0" fontId="36" fillId="0" borderId="0" xfId="0" applyAlignment="1">
      <x:alignment vertical="top" wrapText="1"/>
    </x:xf>
    <x:xf numFmtId="0" fontId="2" fillId="30" borderId="0" xfId="0" applyAlignment="1">
      <x:alignment vertical="top" wrapText="1"/>
    </x:xf>
    <x:xf numFmtId="0" fontId="37" fillId="0" borderId="0" xfId="0" applyAlignment="1">
      <x:alignment vertical="top" wrapText="1"/>
    </x:xf>
    <x:xf numFmtId="0" fontId="2" fillId="31" borderId="0" xfId="0" applyAlignment="1">
      <x:alignment vertical="top" wrapText="1"/>
    </x:xf>
    <x:xf numFmtId="0" fontId="2" fillId="32" borderId="0" xfId="0" applyAlignment="1">
      <x:alignment vertical="top" wrapText="1"/>
    </x:xf>
    <x:xf numFmtId="0" fontId="2" fillId="27" borderId="0" xfId="0" applyAlignment="1">
      <x:alignment wrapText="1"/>
    </x:xf>
    <x:xf numFmtId="0" fontId="31" fillId="28" borderId="0" xfId="0" applyAlignment="1">
      <x:alignment vertical="top" wrapText="1"/>
    </x:xf>
    <x:xf numFmtId="0" fontId="31" fillId="0" borderId="0" xfId="0" applyAlignment="1">
      <x:alignment vertical="top" wrapText="1"/>
    </x:xf>
  </x:cellXfs>
  <x:cellStyles count="1">
    <x:cellStyle name="Normal" xfId="0"/>
  </x:cellStyles>
  <x:dxfs count="4">
    <x:dxf>
      <x:fill>
        <x:patternFill>
          <x:bgColor rgb="00F5F2EE"/>
        </x:patternFill>
      </x:fill>
    </x:dxf>
    <x:dxf>
      <x:fill>
        <x:patternFill>
          <x:bgColor rgb="00F5C6DC"/>
        </x:patternFill>
      </x:fill>
    </x:dxf>
    <x:dxf>
      <x:fill>
        <x:patternFill>
          <x:bgColor rgb="00F05F9D"/>
        </x:patternFill>
      </x:fill>
    </x:dxf>
    <x:dxf>
      <x:fill>
        <x:patternFill>
          <x:bgColor rgb="00D6007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2daf3d161bc4d48" /><Relationship Type="http://schemas.openxmlformats.org/officeDocument/2006/relationships/theme" Target="/xl/theme/theme1.xml" Id="R3e452a4da5dd4de2" /><Relationship Type="http://schemas.openxmlformats.org/officeDocument/2006/relationships/sharedStrings" Target="/xl/sharedStrings.xml" Id="Re151a24863914b34" /><Relationship Type="http://schemas.openxmlformats.org/officeDocument/2006/relationships/worksheet" Target="/xl/worksheets/sheet1.xml" Id="R9b5a2da9d2574fcb" /><Relationship Type="http://schemas.openxmlformats.org/officeDocument/2006/relationships/worksheet" Target="/xl/worksheets/sheet2.xml" Id="R6f0b9f0fef864b93" /><Relationship Type="http://schemas.openxmlformats.org/officeDocument/2006/relationships/worksheet" Target="/xl/worksheets/sheet3.xml" Id="R4360a635b58543d0" /><Relationship Type="http://schemas.openxmlformats.org/officeDocument/2006/relationships/worksheet" Target="/xl/worksheets/sheet4.xml" Id="R1d5dfb3464aa4f03" /><Relationship Type="http://schemas.openxmlformats.org/officeDocument/2006/relationships/worksheet" Target="/xl/worksheets/sheet5.xml" Id="R2ae7472f19324dfd" /><Relationship Type="http://schemas.openxmlformats.org/officeDocument/2006/relationships/worksheet" Target="/xl/worksheets/sheet6.xml" Id="R0d73ddf7ec384cca" /><Relationship Type="http://schemas.openxmlformats.org/officeDocument/2006/relationships/worksheet" Target="/xl/worksheets/sheet7.xml" Id="R036459189a7446a2" /><Relationship Type="http://schemas.openxmlformats.org/officeDocument/2006/relationships/worksheet" Target="/xl/worksheets/sheet8.xml" Id="R9ddb42477a5d43e8" /><Relationship Type="http://schemas.openxmlformats.org/officeDocument/2006/relationships/worksheet" Target="/xl/worksheets/sheet9.xml" Id="R26d788a972174dcc" /><Relationship Type="http://schemas.openxmlformats.org/officeDocument/2006/relationships/worksheet" Target="/xl/worksheets/sheet10.xml" Id="R9ee1db4b3ec74f02" /><Relationship Type="http://schemas.openxmlformats.org/officeDocument/2006/relationships/worksheet" Target="/xl/worksheets/sheet11.xml" Id="Ra2b348ce358546c1" /><Relationship Type="http://schemas.openxmlformats.org/officeDocument/2006/relationships/worksheet" Target="/xl/worksheets/sheet12.xml" Id="Rd569f30272384f2c" /><Relationship Type="http://schemas.openxmlformats.org/officeDocument/2006/relationships/worksheet" Target="/xl/worksheets/sheet13.xml" Id="R552a9df42da4461c" /><Relationship Type="http://schemas.openxmlformats.org/officeDocument/2006/relationships/worksheet" Target="/xl/worksheets/sheet14.xml" Id="Ra7592040b03245d1" /><Relationship Type="http://schemas.openxmlformats.org/officeDocument/2006/relationships/worksheet" Target="/xl/worksheets/sheet15.xml" Id="R24b62dbbe4634f12" /><Relationship Type="http://schemas.openxmlformats.org/officeDocument/2006/relationships/worksheet" Target="/xl/worksheets/sheet16.xml" Id="R44355a2014b2415f" /></Relationships>
</file>

<file path=xl/drawings/_rels/drawing1.xml.rels>&#65279;<?xml version="1.0" encoding="utf-8"?><Relationships xmlns="http://schemas.openxmlformats.org/package/2006/relationships"><Relationship Type="http://schemas.openxmlformats.org/officeDocument/2006/relationships/chart" Target="/xl/drawings/charts/chart1.xml" Id="R17bdf5bb12974fb4" /></Relationships>
</file>

<file path=xl/drawings/_rels/drawing2.xml.rels>&#65279;<?xml version="1.0" encoding="utf-8"?><Relationships xmlns="http://schemas.openxmlformats.org/package/2006/relationships"><Relationship Type="http://schemas.openxmlformats.org/officeDocument/2006/relationships/image" Target="/xl/media/image.png" Id="Rd728bbb46c0347b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Late-stage program footprint by normalized area</a:t>
            </a:r>
          </a:p>
        </c:rich>
      </c:tx>
      <c:overlay val="0"/>
    </c:title>
    <c:autoTitleDeleted val="0"/>
    <c:plotArea>
      <c:layout/>
      <c:barChart>
        <c:barDir val="col"/>
        <c:grouping val="stacked"/>
        <c:varyColors val="0"/>
        <c:ser>
          <c:idx val="0"/>
          <c:order val="0"/>
          <c:tx>
            <c:strRef>
              <c:f>'Summary'!B3</c:f>
              <c:strCache>
                <c:ptCount val="1"/>
                <c:pt idx="0">
                  <c:v/>
                </c:pt>
              </c:strCache>
            </c:strRef>
          </c:tx>
          <c:spPr>
            <a:solidFill xmlns:a="http://schemas.openxmlformats.org/drawingml/2006/main">
              <a:srgbClr val="7A1F63"/>
            </a:solidFill>
            <a:ln xmlns:a="http://schemas.openxmlformats.org/drawingml/2006/main">
              <a:solidFill>
                <a:srgbClr val="7A1F63"/>
              </a:solidFill>
              <a:prstDash val="solid"/>
            </a:ln>
          </c:spPr>
          <c:cat>
            <c:strRef>
              <c:f>'Summary'!$A$4:$A$11</c:f>
              <c:strCache>
                <c:ptCount val="0"/>
              </c:strCache>
            </c:strRef>
          </c:cat>
          <c:val>
            <c:numRef>
              <c:f>'Summary'!$B$4:$B$11</c:f>
              <c:numCache>
                <c:formatCode>General</c:formatCode>
                <c:ptCount val="0"/>
              </c:numCache>
            </c:numRef>
          </c:val>
        </c:ser>
        <c:ser>
          <c:idx val="1"/>
          <c:order val="1"/>
          <c:tx>
            <c:strRef>
              <c:f>'Summary'!C3</c:f>
              <c:strCache>
                <c:ptCount val="1"/>
                <c:pt idx="0">
                  <c:v/>
                </c:pt>
              </c:strCache>
            </c:strRef>
          </c:tx>
          <c:spPr>
            <a:solidFill xmlns:a="http://schemas.openxmlformats.org/drawingml/2006/main">
              <a:srgbClr val="263B73"/>
            </a:solidFill>
            <a:ln xmlns:a="http://schemas.openxmlformats.org/drawingml/2006/main">
              <a:solidFill>
                <a:srgbClr val="263B73"/>
              </a:solidFill>
              <a:prstDash val="solid"/>
            </a:ln>
          </c:spPr>
          <c:cat>
            <c:strRef>
              <c:f>'Summary'!$A$4:$A$11</c:f>
              <c:strCache>
                <c:ptCount val="0"/>
              </c:strCache>
            </c:strRef>
          </c:cat>
          <c:val>
            <c:numRef>
              <c:f>'Summary'!$C$4:$C$11</c:f>
              <c:numCache>
                <c:formatCode>General</c:formatCode>
                <c:ptCount val="0"/>
              </c:numCache>
            </c:numRef>
          </c:val>
        </c:ser>
        <c:dLbls>
          <c:showLegendKey val="0"/>
          <c:showVal val="1"/>
          <c:showCatName val="0"/>
          <c:showSerName val="0"/>
          <c:showPercent val="0"/>
          <c:showBubbleSize val="0"/>
          <c:showLeaderLines val="0"/>
        </c:dLbls>
        <c:gapWidth val="150"/>
        <c:overlap val="100"/>
        <c:axId val="48650112"/>
        <c:axId val="48672768"/>
      </c:barChart>
      <c:catAx>
        <c:axId val="48650112"/>
        <c:scaling>
          <c:orientation val="minMax"/>
        </c:scaling>
        <c:delete val="0"/>
        <c:axPos val="l"/>
        <c:numFmt formatCode="General"/>
        <c:majorTickMark val="none"/>
        <c:minorTickMark val="none"/>
        <c:crossAx val="48672768"/>
        <c:crosses val="autoZero"/>
        <c:lblAlgn val="ctr"/>
        <c:lblOffset val="100"/>
        <c:noMultiLvlLbl val="0"/>
      </c:catAx>
      <c:valAx>
        <c:axId val="48672768"/>
        <c:scaling>
          <c:orientation val="minMax"/>
        </c:scaling>
        <c:delete val="0"/>
        <c:axPos val="l"/>
        <c:title>
          <c:tx>
            <c:rich>
              <a:bodyPr xmlns:a="http://schemas.openxmlformats.org/drawingml/2006/main"/>
              <a:lstStyle xmlns:a="http://schemas.openxmlformats.org/drawingml/2006/main"/>
              <a:p xmlns:a="http://schemas.openxmlformats.org/drawingml/2006/main">
                <a:r>
                  <a:rPr/>
                  <a:t>Programs</a:t>
                </a:r>
              </a:p>
            </c:rich>
          </c:tx>
          <c:overlay val="0"/>
        </c:title>
        <c:numFmt formatCode="General"/>
        <c:majorTickMark val="none"/>
        <c:minorTickMark val="none"/>
        <c:crossAx val="48650112"/>
        <c:crosses val="autoZero"/>
        <c:crossBetween val="between"/>
      </c:valAx>
    </c:plotArea>
    <c:legend>
      <c:legendPos val="b"/>
      <c:overlay val="0"/>
    </c:legend>
    <c:plotVisOnly val="1"/>
  </c:chart>
</c:chartSpace>
</file>

<file path=xl/drawings/drawing1.xml><?xml version="1.0" encoding="utf-8"?>
<xdr:wsDr xmlns:xdr="http://schemas.openxmlformats.org/drawingml/2006/spreadsheetDrawing">
  <xdr:oneCellAnchor>
    <xdr:from>
      <xdr:col>7</xdr:col>
      <xdr:colOff>0</xdr:colOff>
      <xdr:row>2</xdr:row>
      <xdr:rowOff>0</xdr:rowOff>
    </xdr:from>
    <xdr:ext cx="6480000" cy="324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7bdf5bb12974fb4"/>
        </a:graphicData>
      </a:graphic>
    </xdr:graphicFrame>
    <xdr:clientData/>
  </xdr:oneCellAnchor>
</xdr:wsDr>
</file>

<file path=xl/drawings/drawing2.xml><?xml version="1.0" encoding="utf-8"?>
<xdr:wsDr xmlns:xdr="http://schemas.openxmlformats.org/drawingml/2006/spreadsheetDrawing">
  <xdr:oneCellAnchor>
    <xdr:from>
      <xdr:col>0</xdr:col>
      <xdr:colOff>0</xdr:colOff>
      <xdr:row>3</xdr:row>
      <xdr:rowOff>0</xdr:rowOff>
    </xdr:from>
    <xdr:ext cx="8229600" cy="10287000"/>
    <xdr:pic>
      <xdr:nvPicPr>
        <xdr:cNvPr id="1" name="/xl/media/image1.png"/>
        <xdr:cNvPicPr>
          <a:picLocks xmlns:a="http://schemas.openxmlformats.org/drawingml/2006/main" noChangeAspect="1"/>
        </xdr:cNvPicPr>
      </xdr:nvPicPr>
      <xdr:blipFill>
        <a:blip xmlns:r="http://schemas.openxmlformats.org/officeDocument/2006/relationships" xmlns:a="http://schemas.openxmlformats.org/drawingml/2006/main" r:embed="Rd728bbb46c0347b8"/>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FitCollisionMatrix" displayName="FitCollisionMatrix" ref="A4:J71" headerRowCount="1">
  <x:autoFilter ref="A4:J71"/>
  <x:tableColumns count="10">
    <x:tableColumn id="1" name="Disease area"/>
    <x:tableColumn id="2" name="Modality family"/>
    <x:tableColumn id="3" name="Indication territory"/>
    <x:tableColumn id="4" name="Status"/>
    <x:tableColumn id="5" name="AZ count"/>
    <x:tableColumn id="6" name="BMS count"/>
    <x:tableColumn id="7" name="AZ programs"/>
    <x:tableColumn id="8" name="BMS programs"/>
    <x:tableColumn id="9" name="AZ source"/>
    <x:tableColumn id="10" name="BMS source"/>
  </x:tableColumns>
  <x:tableStyleInfo name="TableStyleMedium2" showRowStripes="1"/>
</x:table>
</file>

<file path=xl/tables/table2.xml><?xml version="1.0" encoding="utf-8"?>
<x:table xmlns:x="http://schemas.openxmlformats.org/spreadsheetml/2006/main" id="2" name="MatrixProgramMap" displayName="MatrixProgramMap" ref="A1:F83" headerRowCount="1">
  <x:autoFilter ref="A1:F83"/>
  <x:tableColumns count="6">
    <x:tableColumn id="1" name="Company"/>
    <x:tableColumn id="2" name="Disease area"/>
    <x:tableColumn id="3" name="Program"/>
    <x:tableColumn id="4" name="Normalized modality family"/>
    <x:tableColumn id="5" name="Normalized indication territory"/>
    <x:tableColumn id="6" name="Source URL"/>
  </x:tableColumns>
  <x:tableStyleInfo name="TableStyleMedium2" showRowStripes="1"/>
</x:table>
</file>

<file path=xl/tables/table3.xml><?xml version="1.0" encoding="utf-8"?>
<x:table xmlns:x="http://schemas.openxmlformats.org/spreadsheetml/2006/main" id="3" name="ProgramDetailsTable" displayName="ProgramDetailsTable" ref="A1:V20" headerRowCount="1">
  <x:autoFilter ref="A1:V20"/>
  <x:tableColumns count="22">
    <x:tableColumn id="1" name="Disease area"/>
    <x:tableColumn id="2" name="Overlap indication"/>
    <x:tableColumn id="3" name="Company"/>
    <x:tableColumn id="4" name="Program"/>
    <x:tableColumn id="5" name="Pipeline stage"/>
    <x:tableColumn id="6" name="Representative modality / mechanism"/>
    <x:tableColumn id="7" name="ClinicalTrials.gov ID"/>
    <x:tableColumn id="8" name="Representative trial"/>
    <x:tableColumn id="9" name="Potential launch indication (analyst scenario)"/>
    <x:tableColumn id="10" name="Clinical setting / line of therapy"/>
    <x:tableColumn id="11" name="Primary completion date"/>
    <x:tableColumn id="12" name="Primary completion year"/>
    <x:tableColumn id="13" name="Launch lag - low (years)"/>
    <x:tableColumn id="14" name="Launch lag - high (years)"/>
    <x:tableColumn id="15" name="Illustrative launch start"/>
    <x:tableColumn id="16" name="Illustrative launch end"/>
    <x:tableColumn id="17" name="Illustrative launch window"/>
    <x:tableColumn id="18" name="Historical sales of asset"/>
    <x:tableColumn id="19" name="Commercial benchmark IDs"/>
    <x:tableColumn id="20" name="Trial URL"/>
    <x:tableColumn id="21" name="Pipeline source URL"/>
    <x:tableColumn id="22" name="Notes"/>
  </x:tableColumns>
  <x:tableStyleInfo name="TableStyleMedium2" showRowStripes="1"/>
</x:table>
</file>

<file path=xl/tables/table4.xml><?xml version="1.0" encoding="utf-8"?>
<x:table xmlns:x="http://schemas.openxmlformats.org/spreadsheetml/2006/main" id="4" name="CommercialBenchmarksTable" displayName="CommercialBenchmarksTable" ref="A1:O7" headerRowCount="1">
  <x:autoFilter ref="A1:O7"/>
  <x:tableColumns count="15">
    <x:tableColumn id="1" name="Benchmark ID"/>
    <x:tableColumn id="2" name="Disease area"/>
    <x:tableColumn id="3" name="Overlap indication"/>
    <x:tableColumn id="4" name="Product"/>
    <x:tableColumn id="5" name="Company"/>
    <x:tableColumn id="6" name="Year"/>
    <x:tableColumn id="7" name="US revenue ($m)"/>
    <x:tableColumn id="8" name="Emerging Markets revenue ($m)"/>
    <x:tableColumn id="9" name="Europe revenue ($m)"/>
    <x:tableColumn id="10" name="Established ROW revenue ($m)"/>
    <x:tableColumn id="11" name="Worldwide revenue ($m)"/>
    <x:tableColumn id="12" name="Sales basis"/>
    <x:tableColumn id="13" name="Relevance"/>
    <x:tableColumn id="14" name="Limitations"/>
    <x:tableColumn id="15" name="Source URL"/>
  </x:tableColumns>
  <x:tableStyleInfo name="TableStyleMedium4" showRowStripes="1"/>
</x:table>
</file>

<file path=xl/tables/table5.xml><?xml version="1.0" encoding="utf-8"?>
<x:table xmlns:x="http://schemas.openxmlformats.org/spreadsheetml/2006/main" id="5" name="WebsiteExportTable" displayName="WebsiteExportTable" ref="A1:J33" headerRowCount="1">
  <x:autoFilter ref="A1:J33"/>
  <x:tableColumns count="10">
    <x:tableColumn id="1" name="Cell ID"/>
    <x:tableColumn id="2" name="Disease area"/>
    <x:tableColumn id="3" name="Plot label"/>
    <x:tableColumn id="4" name="Factor"/>
    <x:tableColumn id="5" name="Overlap count"/>
    <x:tableColumn id="6" name="Directness"/>
    <x:tableColumn id="7" name="AZ programs"/>
    <x:tableColumn id="8" name="BMS programs"/>
    <x:tableColumn id="9" name="Relationship"/>
    <x:tableColumn id="10" name="Overlap units"/>
  </x:tableColumns>
  <x:tableStyleInfo name="TableStyleMedium9"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8.xml.rels>&#65279;<?xml version="1.0" encoding="utf-8"?><Relationships xmlns="http://schemas.openxmlformats.org/package/2006/relationships"><Relationship Type="http://schemas.openxmlformats.org/officeDocument/2006/relationships/drawing" Target="/xl/drawings/drawing1.xml" Id="R325d01108b574a85" /></Relationships>
</file>

<file path=xl/worksheets/_rels/sheet11.xml.rels>&#65279;<?xml version="1.0" encoding="utf-8"?><Relationships xmlns="http://schemas.openxmlformats.org/package/2006/relationships"><Relationship Type="http://schemas.openxmlformats.org/officeDocument/2006/relationships/drawing" Target="/xl/drawings/drawing2.xml" Id="R67f6eca0d92e4b36" /></Relationships>
</file>

<file path=xl/worksheets/_rels/sheet12.xml.rels>&#65279;<?xml version="1.0" encoding="utf-8"?><Relationships xmlns="http://schemas.openxmlformats.org/package/2006/relationships"><Relationship Type="http://schemas.openxmlformats.org/officeDocument/2006/relationships/table" Target="/xl/tables/table1.xml" Id="R7fe17536e030435a" /></Relationships>
</file>

<file path=xl/worksheets/_rels/sheet13.xml.rels>&#65279;<?xml version="1.0" encoding="utf-8"?><Relationships xmlns="http://schemas.openxmlformats.org/package/2006/relationships"><Relationship Type="http://schemas.openxmlformats.org/officeDocument/2006/relationships/table" Target="/xl/tables/table2.xml" Id="R87f7217dec58485b" /></Relationships>
</file>

<file path=xl/worksheets/_rels/sheet14.xml.rels>&#65279;<?xml version="1.0" encoding="utf-8"?><Relationships xmlns="http://schemas.openxmlformats.org/package/2006/relationships"><Relationship Type="http://schemas.openxmlformats.org/officeDocument/2006/relationships/table" Target="/xl/tables/table3.xml" Id="R9e6877db21db4c28" /></Relationships>
</file>

<file path=xl/worksheets/_rels/sheet15.xml.rels>&#65279;<?xml version="1.0" encoding="utf-8"?><Relationships xmlns="http://schemas.openxmlformats.org/package/2006/relationships"><Relationship Type="http://schemas.openxmlformats.org/officeDocument/2006/relationships/table" Target="/xl/tables/table4.xml" Id="R5f3089fd5e10448e" /></Relationships>
</file>

<file path=xl/worksheets/_rels/sheet16.xml.rels>&#65279;<?xml version="1.0" encoding="utf-8"?><Relationships xmlns="http://schemas.openxmlformats.org/package/2006/relationships"><Relationship Type="http://schemas.openxmlformats.org/officeDocument/2006/relationships/table" Target="/xl/tables/table5.xml" Id="Rf6db4ce62367429c"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2" customWidth="1"/>
    <x:col min="2" max="2" width="115" customWidth="1"/>
    <x:col min="3" max="3" width="18" customWidth="1"/>
    <x:col min="4" max="4" width="18" customWidth="1"/>
    <x:col min="5" max="5" width="18" customWidth="1"/>
    <x:col min="6" max="6" width="18" customWidth="1"/>
    <x:col min="7" max="7" width="18" customWidth="1"/>
    <x:col min="8" max="8" width="18" customWidth="1"/>
  </x:cols>
  <x:sheetData>
    <x:row r="1" ht="34" customHeight="1">
      <x:c r="A1" s="57" t="inlineStr">
        <x:is>
          <x:t xml:space="preserve">Interactive website package - data and methodology</x:t>
        </x:is>
      </x:c>
    </x:row>
    <x:row r="3" ht="42" customHeight="1">
      <x:c r="A3" s="77" t="inlineStr">
        <x:is>
          <x:t xml:space="preserve">Package purpose</x:t>
        </x:is>
      </x:c>
      <x:c r="B3" s="59" t="inlineStr">
        <x:is>
          <x:t xml:space="preserve">Back-up data for the GitHub Pages website. The interactive chart links each overlap bubble to the exact overlap units and relevant programs.</x:t>
        </x:is>
      </x:c>
    </x:row>
    <x:row r="4" ht="42" customHeight="1">
      <x:c r="A4" s="78" t="inlineStr">
        <x:is>
          <x:t xml:space="preserve">Matched portfolio snapshot</x:t>
        </x:is>
      </x:c>
      <x:c r="B4" s="3" t="inlineStr">
        <x:is>
          <x:t xml:space="preserve">AstraZeneca 10 Feb 2026 and BMS 5 Feb 2026 pipeline disclosures.</x:t>
        </x:is>
      </x:c>
    </x:row>
    <x:row r="5" ht="42" customHeight="1">
      <x:c r="A5" s="77" t="inlineStr">
        <x:is>
          <x:t xml:space="preserve">Late-stage program definition</x:t>
        </x:is>
      </x:c>
      <x:c r="B5" s="59" t="inlineStr">
        <x:is>
          <x:t xml:space="preserve">Unique lead investigational asset in Phase II or Phase III/pivotal/registration development; approved-indication expansions and major lifecycle-management programs excluded from the core count.</x:t>
        </x:is>
      </x:c>
    </x:row>
    <x:row r="6" ht="42" customHeight="1">
      <x:c r="A6" s="78" t="inlineStr">
        <x:is>
          <x:t xml:space="preserve">Overlap count definition</x:t>
        </x:is>
      </x:c>
      <x:c r="B6" s="3" t="inlineStr">
        <x:is>
          <x:t xml:space="preserve">Number of distinct shared indication territories, modality classes, target/mechanism themes, or development-stage bands - not all possible AZ-BMS asset-pair permutations.</x:t>
        </x:is>
      </x:c>
    </x:row>
    <x:row r="7" ht="42" customHeight="1">
      <x:c r="A7" s="77" t="inlineStr">
        <x:is>
          <x:t xml:space="preserve">Launch window</x:t>
        </x:is>
      </x:c>
      <x:c r="B7" s="59" t="inlineStr">
        <x:is>
          <x:t xml:space="preserve">Illustrative analyst scenario calculated from trial primary-completion year plus a stage-specific lag. It is not company guidance, a probability-adjusted forecast, or a regulatory prediction.</x:t>
        </x:is>
      </x:c>
    </x:row>
    <x:row r="8" ht="42" customHeight="1">
      <x:c r="A8" s="78" t="inlineStr">
        <x:is>
          <x:t xml:space="preserve">Historical sales</x:t>
        </x:is>
      </x:c>
      <x:c r="B8" s="3" t="inlineStr">
        <x:is>
          <x:t xml:space="preserve">Investigational assets have no historical sales. The Commercial_Benchmarks sheet provides company-reported brand revenue for scale context; figures are generally not indication-specific.</x:t>
        </x:is>
      </x:c>
    </x:row>
    <x:row r="9" ht="42" customHeight="1">
      <x:c r="A9" s="77" t="inlineStr">
        <x:is>
          <x:t xml:space="preserve">Website deployment</x:t>
        </x:is>
      </x:c>
      <x:c r="B9" s="59" t="inlineStr">
        <x:is>
          <x:t xml:space="preserve">Upload the package contents to a GitHub repository and enable GitHub Pages from the main branch / root folder. No build step is required.</x:t>
        </x:is>
      </x:c>
    </x:row>
    <x:row r="10" ht="12" customHeight="1">
      <x:c r="A10" s="3" t="n"/>
      <x:c r="B10" s="3" t="n"/>
    </x:row>
    <x:row r="11" ht="70" customHeight="1">
      <x:c r="A11" s="78" t="inlineStr">
        <x:is>
          <x:t xml:space="preserve">Fit-vs-collision matrix</x:t>
        </x:is>
      </x:c>
      <x:c r="B11" s="69" t="inlineStr">
        <x:is>
          <x:t xml:space="preserve">Analyst-normalized indication-territory × modality-family map. AZ-only/BMS-only cells show complementarity; overlap cells show collision. The map does not capture earlier-stage, marketed or undisclosed programs.</x:t>
        </x:is>
      </x:c>
    </x:row>
  </x:sheetData>
  <x:mergeCells>
    <x:mergeCell ref="B8:H8"/>
    <x:mergeCell ref="B9:H9"/>
    <x:mergeCell ref="B4:H4"/>
    <x:mergeCell ref="B6:H6"/>
    <x:mergeCell ref="B7:H7"/>
    <x:mergeCell ref="A1:H1"/>
    <x:mergeCell ref="B3:H3"/>
    <x:mergeCell ref="B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2" customWidth="1"/>
    <x:col min="2" max="2" width="22" customWidth="1"/>
    <x:col min="3" max="3" width="22" customWidth="1"/>
    <x:col min="4" max="4" width="22" customWidth="1"/>
    <x:col min="5" max="5" width="22" customWidth="1"/>
    <x:col min="6" max="6" width="22" customWidth="1"/>
  </x:cols>
  <x:sheetData>
    <x:row r="1">
      <x:c r="A1" s="1" t="inlineStr">
        <x:is>
          <x:t xml:space="preserve">AstraZeneca + BMS: Portfolio Fit—or Collision?</x:t>
        </x:is>
      </x:c>
    </x:row>
    <x:row r="3">
      <x:c r="A3" s="2" t="inlineStr">
        <x:is>
          <x:t xml:space="preserve">Purpose</x:t>
        </x:is>
      </x:c>
    </x:row>
    <x:row r="4">
      <x:c r="A4" s="3" t="inlineStr">
        <x:is>
          <x:t xml:space="preserve">Backup workbook for a LinkedIn post examining where AstraZeneca and Bristol Myers Squibb have overlapping versus complementary late-stage R&amp;D portfolios.</x:t>
        </x:is>
      </x:c>
    </x:row>
    <x:row r="5"/>
    <x:row r="7">
      <x:c r="A7" s="2" t="inlineStr">
        <x:is>
          <x:t xml:space="preserve">Headline findings</x:t>
        </x:is>
      </x:c>
    </x:row>
    <x:row r="8" ht="34" customHeight="1">
      <x:c r="A8" s="3" t="inlineStr">
        <x:is>
          <x:t xml:space="preserve">1. The shared areas contain 41 of 62 mapped programs (66%), concentrated in solid-tumor oncology, hematology, immunology/respiratory/fibrosis and cardiovascular disease.</x:t>
        </x:is>
      </x:c>
    </x:row>
    <x:row r="9" ht="34" customHeight="1">
      <x:c r="A9" s="3" t="inlineStr">
        <x:is>
          <x:t xml:space="preserve">2. Oncology is the clearest collision zone: 18 solid-tumor programs plus 8 hematology programs across the two companies.</x:t>
        </x:is>
      </x:c>
    </x:row>
    <x:row r="10" ht="34" customHeight="1">
      <x:c r="A10" s="3" t="inlineStr">
        <x:is>
          <x:t xml:space="preserve">3. Complementarity is strongest outside oncology: AstraZeneca adds rare disease, renal/metabolic and infectious-disease breadth; BMS adds a distinct neuroscience foothold.</x:t>
        </x:is>
      </x:c>
    </x:row>
    <x:row r="11" ht="34" customHeight="1">
      <x:c r="A11" s="3" t="inlineStr">
        <x:is>
          <x:t xml:space="preserve">4. Counts show portfolio breadth—not program quality, probability of success, revenue potential, target-level duplication or antitrust risk.</x:t>
        </x:is>
      </x:c>
    </x:row>
    <x:row r="14">
      <x:c r="A14" s="2" t="inlineStr">
        <x:is>
          <x:t xml:space="preserve">Methodology</x:t>
        </x:is>
      </x:c>
    </x:row>
    <x:row r="15" ht="32" customHeight="1">
      <x:c r="A15" s="4" t="inlineStr">
        <x:is>
          <x:t xml:space="preserve">Snapshot dates</x:t>
        </x:is>
      </x:c>
      <x:c r="B15" s="3" t="inlineStr">
        <x:is>
          <x:t xml:space="preserve">AstraZeneca: 10 Feb 2026; BMS: 5 Feb 2026. Matching annual-report snapshots were used to improve comparability.</x:t>
        </x:is>
      </x:c>
    </x:row>
    <x:row r="16" ht="32" customHeight="1">
      <x:c r="A16" s="4" t="inlineStr">
        <x:is>
          <x:t xml:space="preserve">Included</x:t>
        </x:is>
      </x:c>
      <x:c r="B16" s="3" t="inlineStr">
        <x:is>
          <x:t xml:space="preserve">Lead investigational assets or disclosed lead programs in Phase II or Phase III/pivotal/registration.</x:t>
        </x:is>
      </x:c>
    </x:row>
    <x:row r="17" ht="32" customHeight="1">
      <x:c r="A17" s="4" t="inlineStr">
        <x:is>
          <x:t xml:space="preserve">Excluded</x:t>
        </x:is>
      </x:c>
      <x:c r="B17" s="3" t="inlineStr">
        <x:is>
          <x:t xml:space="preserve">Approved indications, additional indications for marketed products, and AstraZeneca significant life-cycle-management tables.</x:t>
        </x:is>
      </x:c>
    </x:row>
    <x:row r="18" ht="44" customHeight="1">
      <x:c r="A18" s="4" t="inlineStr">
        <x:is>
          <x:t xml:space="preserve">Deduplication</x:t>
        </x:is>
      </x:c>
      <x:c r="B18" s="3" t="inlineStr">
        <x:is>
          <x:t xml:space="preserve">The same lead asset is counted once at its highest disclosed phase; multiple indications and combinations are consolidated under the lead investigational asset.</x:t>
        </x:is>
      </x:c>
    </x:row>
    <x:row r="19" ht="44" customHeight="1">
      <x:c r="A19" s="4" t="inlineStr">
        <x:is>
          <x:t xml:space="preserve">Normalization</x:t>
        </x:is>
      </x:c>
      <x:c r="B19" s="3" t="inlineStr">
        <x:is>
          <x:t xml:space="preserve">Company therapy areas were harmonized into eight cross-company categories. AstraZeneca oncology assets were classified as solid-tumor oncology or hematology based on disclosed areas under investigation.</x:t>
        </x:is>
      </x:c>
    </x:row>
    <x:row r="20" ht="44" customHeight="1">
      <x:c r="A20" s="4" t="inlineStr">
        <x:is>
          <x:t xml:space="preserve">Interpretation</x:t>
        </x:is>
      </x:c>
      <x:c r="B20" s="3" t="inlineStr">
        <x:is>
          <x:t xml:space="preserve">A “shared” category means both companies have late-stage activity in the broad therapeutic area; it does not prove direct mechanism, indication or asset duplication.</x:t>
        </x:is>
      </x:c>
    </x:row>
    <x:row r="23">
      <x:c r="A23" s="5" t="inlineStr">
        <x:is>
          <x:t xml:space="preserve">Important current-event caveat</x:t>
        </x:is>
      </x:c>
    </x:row>
    <x:row r="24">
      <x:c r="A24" s="6" t="inlineStr">
        <x:is>
          <x:t xml:space="preserve">Reuters reported on Aug. 5, 2026 that a senior source said there were no ongoing discussions between the companies. The analysis is therefore framed as a portfolio thought experiment, not an announced transaction.</x:t>
        </x:is>
      </x:c>
    </x:row>
    <x:row r="25"/>
    <x:row r="27">
      <x:c r="A27" s="39" t="inlineStr">
        <x:is>
          <x:t xml:space="preserve">Stacked-footprint + count-based lollipop update</x:t>
        </x:is>
      </x:c>
    </x:row>
    <x:row r="28" ht="42" customHeight="1">
      <x:c r="A28" s="40" t="inlineStr">
        <x:is>
          <x:t xml:space="preserve">The chart restores the stacked late-stage program bars above each disease area. AstraZeneca and BMS use logo-inspired company colors; bubble size and number show distinct overlap count, while red tone shows analyst-coded directness. Portfolio balance remains excluded.</x:t>
        </x:is>
      </x:c>
    </x:row>
    <x:row r="29" ht="32" customHeight="1">
      <x:c r="A29" s="40" t="inlineStr">
        <x:is>
          <x:t xml:space="preserve">Reproduction: the Plot_Data tab feeds the R and Python scripts; the Visual_Settings tab records the exact palette and visual encodings.</x:t>
        </x:is>
      </x:c>
    </x:row>
  </x:sheetData>
  <x:mergeCells>
    <x:mergeCell ref="B16:F16"/>
    <x:mergeCell ref="A27:F27"/>
    <x:mergeCell ref="A3:F3"/>
    <x:mergeCell ref="B18:F18"/>
    <x:mergeCell ref="A14:F14"/>
    <x:mergeCell ref="A23:F23"/>
    <x:mergeCell ref="A8:F8"/>
    <x:mergeCell ref="A24:F25"/>
    <x:mergeCell ref="B17:F17"/>
    <x:mergeCell ref="A29:F29"/>
    <x:mergeCell ref="A10:F10"/>
    <x:mergeCell ref="A28:F28"/>
    <x:mergeCell ref="A9:F9"/>
    <x:mergeCell ref="B19:F19"/>
    <x:mergeCell ref="A11:F11"/>
    <x:mergeCell ref="B20:F20"/>
    <x:mergeCell ref="B15:F15"/>
    <x:mergeCell ref="A4:F5"/>
    <x:mergeCell ref="A7:F7"/>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22" customWidth="1"/>
    <x:col min="2" max="2" width="24" customWidth="1"/>
    <x:col min="3" max="3" width="28" customWidth="1"/>
    <x:col min="4" max="4" width="35" customWidth="1"/>
    <x:col min="5" max="5" width="24" customWidth="1"/>
    <x:col min="6" max="6" width="35" customWidth="1"/>
    <x:col min="7" max="7" width="48" customWidth="1"/>
    <x:col min="8" max="8" width="18" customWidth="1"/>
    <x:col min="9" max="9" width="65" customWidth="1"/>
    <x:col min="10" max="10" width="45" customWidth="1"/>
  </x:cols>
  <x:sheetData>
    <x:row r="1">
      <x:c r="A1" s="7" t="inlineStr">
        <x:is>
          <x:t xml:space="preserve">Company</x:t>
        </x:is>
      </x:c>
      <x:c r="B1" s="7" t="inlineStr">
        <x:is>
          <x:t xml:space="preserve">Source therapeutic area</x:t>
        </x:is>
      </x:c>
      <x:c r="C1" s="7" t="inlineStr">
        <x:is>
          <x:t xml:space="preserve">Normalized area</x:t>
        </x:is>
      </x:c>
      <x:c r="D1" s="7" t="inlineStr">
        <x:is>
          <x:t xml:space="preserve">Lead investigational asset / program</x:t>
        </x:is>
      </x:c>
      <x:c r="E1" s="7" t="inlineStr">
        <x:is>
          <x:t xml:space="preserve">Highest disclosed phase in snapshot</x:t>
        </x:is>
      </x:c>
      <x:c r="F1" s="7" t="inlineStr">
        <x:is>
          <x:t xml:space="preserve">Modality / mechanism</x:t>
        </x:is>
      </x:c>
      <x:c r="G1" s="7" t="inlineStr">
        <x:is>
          <x:t xml:space="preserve">Representative area(s) under investigation</x:t>
        </x:is>
      </x:c>
      <x:c r="H1" s="7" t="inlineStr">
        <x:is>
          <x:t xml:space="preserve">Source snapshot date</x:t>
        </x:is>
      </x:c>
      <x:c r="I1" s="7" t="inlineStr">
        <x:is>
          <x:t xml:space="preserve">Source URL</x:t>
        </x:is>
      </x:c>
      <x:c r="J1" s="7" t="inlineStr">
        <x:is>
          <x:t xml:space="preserve">Methodology notes</x:t>
        </x:is>
      </x:c>
    </x:row>
    <x:row r="2" ht="45" customHeight="1">
      <x:c r="A2" s="8" t="inlineStr">
        <x:is>
          <x:t xml:space="preserve">AstraZeneca</x:t>
        </x:is>
      </x:c>
      <x:c r="B2" s="9" t="inlineStr">
        <x:is>
          <x:t xml:space="preserve">Oncology</x:t>
        </x:is>
      </x:c>
      <x:c r="C2" s="9" t="inlineStr">
        <x:is>
          <x:t xml:space="preserve">Solid-tumor oncology</x:t>
        </x:is>
      </x:c>
      <x:c r="D2" s="9" t="inlineStr">
        <x:is>
          <x:t xml:space="preserve">AZD9574</x:t>
        </x:is>
      </x:c>
      <x:c r="E2" s="9" t="inlineStr">
        <x:is>
          <x:t xml:space="preserve">Phase II</x:t>
        </x:is>
      </x:c>
      <x:c r="F2" s="9" t="inlineStr">
        <x:is>
          <x:t xml:space="preserve">PARP1 inhibitor</x:t>
        </x:is>
      </x:c>
      <x:c r="G2" s="9" t="inlineStr">
        <x:is>
          <x:t xml:space="preserve">Advanced solid malignancies</x:t>
        </x:is>
      </x:c>
      <x:c r="H2" s="9" t="inlineStr">
        <x:is>
          <x:t xml:space="preserve">2026-02-10</x:t>
        </x:is>
      </x:c>
      <x:c r="I2" s="9" t="inlineStr">
        <x:is>
          <x:t xml:space="preserve">https://www.astrazeneca.com/content/dam/az/Investor_Relations/annual-report-2025/pdf/AstraZeneca_Development_Pipeline_2025.pdf</x:t>
        </x:is>
      </x:c>
      <x:c r="J2" s="10" t="inlineStr">
        <x:is>
          <x:t xml:space="preserve"/>
        </x:is>
      </x:c>
    </x:row>
    <x:row r="3" ht="45" customHeight="1">
      <x:c r="A3" s="8" t="inlineStr">
        <x:is>
          <x:t xml:space="preserve">AstraZeneca</x:t>
        </x:is>
      </x:c>
      <x:c r="B3" s="9" t="inlineStr">
        <x:is>
          <x:t xml:space="preserve">Oncology</x:t>
        </x:is>
      </x:c>
      <x:c r="C3" s="9" t="inlineStr">
        <x:is>
          <x:t xml:space="preserve">Solid-tumor oncology</x:t>
        </x:is>
      </x:c>
      <x:c r="D3" s="9" t="inlineStr">
        <x:is>
          <x:t xml:space="preserve">camizestrant</x:t>
        </x:is>
      </x:c>
      <x:c r="E3" s="9" t="inlineStr">
        <x:is>
          <x:t xml:space="preserve">Phase III / registration</x:t>
        </x:is>
      </x:c>
      <x:c r="F3" s="9" t="inlineStr">
        <x:is>
          <x:t xml:space="preserve">Next-generation oral SERD</x:t>
        </x:is>
      </x:c>
      <x:c r="G3" s="9" t="inlineStr">
        <x:is>
          <x:t xml:space="preserve">HR+/HER2- breast cancer, including advanced and adjuvant settings</x:t>
        </x:is>
      </x:c>
      <x:c r="H3" s="9" t="inlineStr">
        <x:is>
          <x:t xml:space="preserve">2026-02-10</x:t>
        </x:is>
      </x:c>
      <x:c r="I3" s="9" t="inlineStr">
        <x:is>
          <x:t xml:space="preserve">https://www.astrazeneca.com/content/dam/az/Investor_Relations/annual-report-2025/pdf/AstraZeneca_Development_Pipeline_2025.pdf</x:t>
        </x:is>
      </x:c>
      <x:c r="J3" s="10" t="inlineStr">
        <x:is>
          <x:t xml:space="preserve">Combination trials counted once under the lead investigational asset.</x:t>
        </x:is>
      </x:c>
    </x:row>
    <x:row r="4" ht="45" customHeight="1">
      <x:c r="A4" s="8" t="inlineStr">
        <x:is>
          <x:t xml:space="preserve">AstraZeneca</x:t>
        </x:is>
      </x:c>
      <x:c r="B4" s="9" t="inlineStr">
        <x:is>
          <x:t xml:space="preserve">Oncology</x:t>
        </x:is>
      </x:c>
      <x:c r="C4" s="9" t="inlineStr">
        <x:is>
          <x:t xml:space="preserve">Solid-tumor oncology</x:t>
        </x:is>
      </x:c>
      <x:c r="D4" s="9" t="inlineStr">
        <x:is>
          <x:t xml:space="preserve">FPI-2265</x:t>
        </x:is>
      </x:c>
      <x:c r="E4" s="9" t="inlineStr">
        <x:is>
          <x:t xml:space="preserve">Phase II</x:t>
        </x:is>
      </x:c>
      <x:c r="F4" s="9" t="inlineStr">
        <x:is>
          <x:t xml:space="preserve">PSMA-targeted actinium radioconjugate</x:t>
        </x:is>
      </x:c>
      <x:c r="G4" s="9" t="inlineStr">
        <x:is>
          <x:t xml:space="preserve">Prostate cancer</x:t>
        </x:is>
      </x:c>
      <x:c r="H4" s="9" t="inlineStr">
        <x:is>
          <x:t xml:space="preserve">2026-02-10</x:t>
        </x:is>
      </x:c>
      <x:c r="I4" s="9" t="inlineStr">
        <x:is>
          <x:t xml:space="preserve">https://www.astrazeneca.com/content/dam/az/Investor_Relations/annual-report-2025/pdf/AstraZeneca_Development_Pipeline_2025.pdf</x:t>
        </x:is>
      </x:c>
      <x:c r="J4" s="10" t="inlineStr">
        <x:is>
          <x:t xml:space="preserve"/>
        </x:is>
      </x:c>
    </x:row>
    <x:row r="5" ht="45" customHeight="1">
      <x:c r="A5" s="8" t="inlineStr">
        <x:is>
          <x:t xml:space="preserve">AstraZeneca</x:t>
        </x:is>
      </x:c>
      <x:c r="B5" s="9" t="inlineStr">
        <x:is>
          <x:t xml:space="preserve">Oncology</x:t>
        </x:is>
      </x:c>
      <x:c r="C5" s="9" t="inlineStr">
        <x:is>
          <x:t xml:space="preserve">Solid-tumor oncology</x:t>
        </x:is>
      </x:c>
      <x:c r="D5" s="9" t="inlineStr">
        <x:is>
          <x:t xml:space="preserve">IPH5201</x:t>
        </x:is>
      </x:c>
      <x:c r="E5" s="9" t="inlineStr">
        <x:is>
          <x:t xml:space="preserve">Phase II</x:t>
        </x:is>
      </x:c>
      <x:c r="F5" s="9" t="inlineStr">
        <x:is>
          <x:t xml:space="preserve">CD39 monoclonal antibody</x:t>
        </x:is>
      </x:c>
      <x:c r="G5" s="9" t="inlineStr">
        <x:is>
          <x:t xml:space="preserve">Neoadjuvant/adjuvant NSCLC; listed in combination with Imfinzi</x:t>
        </x:is>
      </x:c>
      <x:c r="H5" s="9" t="inlineStr">
        <x:is>
          <x:t xml:space="preserve">2026-02-10</x:t>
        </x:is>
      </x:c>
      <x:c r="I5" s="9" t="inlineStr">
        <x:is>
          <x:t xml:space="preserve">https://www.astrazeneca.com/content/dam/az/Investor_Relations/annual-report-2025/pdf/AstraZeneca_Development_Pipeline_2025.pdf</x:t>
        </x:is>
      </x:c>
      <x:c r="J5" s="10" t="inlineStr">
        <x:is>
          <x:t xml:space="preserve">Marketed combination backbone excluded from the asset count.</x:t>
        </x:is>
      </x:c>
    </x:row>
    <x:row r="6" ht="45" customHeight="1">
      <x:c r="A6" s="8" t="inlineStr">
        <x:is>
          <x:t xml:space="preserve">AstraZeneca</x:t>
        </x:is>
      </x:c>
      <x:c r="B6" s="9" t="inlineStr">
        <x:is>
          <x:t xml:space="preserve">Oncology</x:t>
        </x:is>
      </x:c>
      <x:c r="C6" s="9" t="inlineStr">
        <x:is>
          <x:t xml:space="preserve">Solid-tumor oncology</x:t>
        </x:is>
      </x:c>
      <x:c r="D6" s="9" t="inlineStr">
        <x:is>
          <x:t xml:space="preserve">puxitatug samrotecan</x:t>
        </x:is>
      </x:c>
      <x:c r="E6" s="9" t="inlineStr">
        <x:is>
          <x:t xml:space="preserve">Phase III</x:t>
        </x:is>
      </x:c>
      <x:c r="F6" s="9" t="inlineStr">
        <x:is>
          <x:t xml:space="preserve">B7-H4 TOP1i antibody-drug conjugate</x:t>
        </x:is>
      </x:c>
      <x:c r="G6" s="9" t="inlineStr">
        <x:is>
          <x:t xml:space="preserve">Solid tumors; Phase III endometrial cancer program</x:t>
        </x:is>
      </x:c>
      <x:c r="H6" s="9" t="inlineStr">
        <x:is>
          <x:t xml:space="preserve">2026-02-10</x:t>
        </x:is>
      </x:c>
      <x:c r="I6" s="9" t="inlineStr">
        <x:is>
          <x:t xml:space="preserve">https://www.astrazeneca.com/content/dam/az/Investor_Relations/annual-report-2025/pdf/AstraZeneca_Development_Pipeline_2025.pdf</x:t>
        </x:is>
      </x:c>
      <x:c r="J6" s="10" t="inlineStr">
        <x:is>
          <x:t xml:space="preserve"/>
        </x:is>
      </x:c>
    </x:row>
    <x:row r="7" ht="45" customHeight="1">
      <x:c r="A7" s="8" t="inlineStr">
        <x:is>
          <x:t xml:space="preserve">AstraZeneca</x:t>
        </x:is>
      </x:c>
      <x:c r="B7" s="9" t="inlineStr">
        <x:is>
          <x:t xml:space="preserve">Oncology</x:t>
        </x:is>
      </x:c>
      <x:c r="C7" s="9" t="inlineStr">
        <x:is>
          <x:t xml:space="preserve">Solid-tumor oncology</x:t>
        </x:is>
      </x:c>
      <x:c r="D7" s="9" t="inlineStr">
        <x:is>
          <x:t xml:space="preserve">rilvegostomig</x:t>
        </x:is>
      </x:c>
      <x:c r="E7" s="9" t="inlineStr">
        <x:is>
          <x:t xml:space="preserve">Phase III</x:t>
        </x:is>
      </x:c>
      <x:c r="F7" s="9" t="inlineStr">
        <x:is>
          <x:t xml:space="preserve">PD-1/TIGIT bispecific antibody</x:t>
        </x:is>
      </x:c>
      <x:c r="G7" s="9" t="inlineStr">
        <x:is>
          <x:t xml:space="preserve">NSCLC, HCC, gastric, biliary and other solid tumors</x:t>
        </x:is>
      </x:c>
      <x:c r="H7" s="9" t="inlineStr">
        <x:is>
          <x:t xml:space="preserve">2026-02-10</x:t>
        </x:is>
      </x:c>
      <x:c r="I7" s="9" t="inlineStr">
        <x:is>
          <x:t xml:space="preserve">https://www.astrazeneca.com/content/dam/az/Investor_Relations/annual-report-2025/pdf/AstraZeneca_Development_Pipeline_2025.pdf</x:t>
        </x:is>
      </x:c>
      <x:c r="J7" s="10" t="inlineStr">
        <x:is>
          <x:t xml:space="preserve">Multiple combinations and indications counted once under the lead asset.</x:t>
        </x:is>
      </x:c>
    </x:row>
    <x:row r="8" ht="45" customHeight="1">
      <x:c r="A8" s="8" t="inlineStr">
        <x:is>
          <x:t xml:space="preserve">AstraZeneca</x:t>
        </x:is>
      </x:c>
      <x:c r="B8" s="9" t="inlineStr">
        <x:is>
          <x:t xml:space="preserve">Oncology</x:t>
        </x:is>
      </x:c>
      <x:c r="C8" s="9" t="inlineStr">
        <x:is>
          <x:t xml:space="preserve">Solid-tumor oncology</x:t>
        </x:is>
      </x:c>
      <x:c r="D8" s="9" t="inlineStr">
        <x:is>
          <x:t xml:space="preserve">saruparib</x:t>
        </x:is>
      </x:c>
      <x:c r="E8" s="9" t="inlineStr">
        <x:is>
          <x:t xml:space="preserve">Phase III</x:t>
        </x:is>
      </x:c>
      <x:c r="F8" s="9" t="inlineStr">
        <x:is>
          <x:t xml:space="preserve">PARP1 inhibitor</x:t>
        </x:is>
      </x:c>
      <x:c r="G8" s="9" t="inlineStr">
        <x:is>
          <x:t xml:space="preserve">Prostate and breast cancer programs</x:t>
        </x:is>
      </x:c>
      <x:c r="H8" s="9" t="inlineStr">
        <x:is>
          <x:t xml:space="preserve">2026-02-10</x:t>
        </x:is>
      </x:c>
      <x:c r="I8" s="9" t="inlineStr">
        <x:is>
          <x:t xml:space="preserve">https://www.astrazeneca.com/content/dam/az/Investor_Relations/annual-report-2025/pdf/AstraZeneca_Development_Pipeline_2025.pdf</x:t>
        </x:is>
      </x:c>
      <x:c r="J8" s="10" t="inlineStr">
        <x:is>
          <x:t xml:space="preserve">Multiple combinations and indications counted once under the lead asset.</x:t>
        </x:is>
      </x:c>
    </x:row>
    <x:row r="9" ht="45" customHeight="1">
      <x:c r="A9" s="8" t="inlineStr">
        <x:is>
          <x:t xml:space="preserve">AstraZeneca</x:t>
        </x:is>
      </x:c>
      <x:c r="B9" s="9" t="inlineStr">
        <x:is>
          <x:t xml:space="preserve">Oncology</x:t>
        </x:is>
      </x:c>
      <x:c r="C9" s="9" t="inlineStr">
        <x:is>
          <x:t xml:space="preserve">Solid-tumor oncology</x:t>
        </x:is>
      </x:c>
      <x:c r="D9" s="9" t="inlineStr">
        <x:is>
          <x:t xml:space="preserve">sonesitatug vedotin</x:t>
        </x:is>
      </x:c>
      <x:c r="E9" s="9" t="inlineStr">
        <x:is>
          <x:t xml:space="preserve">Phase III</x:t>
        </x:is>
      </x:c>
      <x:c r="F9" s="9" t="inlineStr">
        <x:is>
          <x:t xml:space="preserve">CLDN18.2 MMAE antibody-drug conjugate</x:t>
        </x:is>
      </x:c>
      <x:c r="G9" s="9" t="inlineStr">
        <x:is>
          <x:t xml:space="preserve">Solid tumors; Phase III gastric cancer program</x:t>
        </x:is>
      </x:c>
      <x:c r="H9" s="9" t="inlineStr">
        <x:is>
          <x:t xml:space="preserve">2026-02-10</x:t>
        </x:is>
      </x:c>
      <x:c r="I9" s="9" t="inlineStr">
        <x:is>
          <x:t xml:space="preserve">https://www.astrazeneca.com/content/dam/az/Investor_Relations/annual-report-2025/pdf/AstraZeneca_Development_Pipeline_2025.pdf</x:t>
        </x:is>
      </x:c>
      <x:c r="J9" s="10" t="inlineStr">
        <x:is>
          <x:t xml:space="preserve"/>
        </x:is>
      </x:c>
    </x:row>
    <x:row r="10" ht="45" customHeight="1">
      <x:c r="A10" s="8" t="inlineStr">
        <x:is>
          <x:t xml:space="preserve">AstraZeneca</x:t>
        </x:is>
      </x:c>
      <x:c r="B10" s="9" t="inlineStr">
        <x:is>
          <x:t xml:space="preserve">Oncology</x:t>
        </x:is>
      </x:c>
      <x:c r="C10" s="9" t="inlineStr">
        <x:is>
          <x:t xml:space="preserve">Solid-tumor oncology</x:t>
        </x:is>
      </x:c>
      <x:c r="D10" s="9" t="inlineStr">
        <x:is>
          <x:t xml:space="preserve">tilatamig samrotecan</x:t>
        </x:is>
      </x:c>
      <x:c r="E10" s="9" t="inlineStr">
        <x:is>
          <x:t xml:space="preserve">Phase II</x:t>
        </x:is>
      </x:c>
      <x:c r="F10" s="9" t="inlineStr">
        <x:is>
          <x:t xml:space="preserve">EGFR/cMET TOP1i antibody-drug conjugate</x:t>
        </x:is>
      </x:c>
      <x:c r="G10" s="9" t="inlineStr">
        <x:is>
          <x:t xml:space="preserve">Solid tumors</x:t>
        </x:is>
      </x:c>
      <x:c r="H10" s="9" t="inlineStr">
        <x:is>
          <x:t xml:space="preserve">2026-02-10</x:t>
        </x:is>
      </x:c>
      <x:c r="I10" s="9" t="inlineStr">
        <x:is>
          <x:t xml:space="preserve">https://www.astrazeneca.com/content/dam/az/Investor_Relations/annual-report-2025/pdf/AstraZeneca_Development_Pipeline_2025.pdf</x:t>
        </x:is>
      </x:c>
      <x:c r="J10" s="10" t="inlineStr">
        <x:is>
          <x:t xml:space="preserve"/>
        </x:is>
      </x:c>
    </x:row>
    <x:row r="11" ht="45" customHeight="1">
      <x:c r="A11" s="8" t="inlineStr">
        <x:is>
          <x:t xml:space="preserve">AstraZeneca</x:t>
        </x:is>
      </x:c>
      <x:c r="B11" s="9" t="inlineStr">
        <x:is>
          <x:t xml:space="preserve">Oncology</x:t>
        </x:is>
      </x:c>
      <x:c r="C11" s="9" t="inlineStr">
        <x:is>
          <x:t xml:space="preserve">Solid-tumor oncology</x:t>
        </x:is>
      </x:c>
      <x:c r="D11" s="9" t="inlineStr">
        <x:is>
          <x:t xml:space="preserve">torvutatug samrotecan (AZD5335)</x:t>
        </x:is>
      </x:c>
      <x:c r="E11" s="9" t="inlineStr">
        <x:is>
          <x:t xml:space="preserve">Phase III</x:t>
        </x:is>
      </x:c>
      <x:c r="F11" s="9" t="inlineStr">
        <x:is>
          <x:t xml:space="preserve">FR-alpha TOP1i antibody-drug conjugate</x:t>
        </x:is>
      </x:c>
      <x:c r="G11" s="9" t="inlineStr">
        <x:is>
          <x:t xml:space="preserve">Ovarian cancer and other solid tumors</x:t>
        </x:is>
      </x:c>
      <x:c r="H11" s="9" t="inlineStr">
        <x:is>
          <x:t xml:space="preserve">2026-02-10</x:t>
        </x:is>
      </x:c>
      <x:c r="I11" s="9" t="inlineStr">
        <x:is>
          <x:t xml:space="preserve">https://www.astrazeneca.com/content/dam/az/Investor_Relations/annual-report-2025/pdf/AstraZeneca_Development_Pipeline_2025.pdf</x:t>
        </x:is>
      </x:c>
      <x:c r="J11" s="10" t="inlineStr">
        <x:is>
          <x:t xml:space="preserve"/>
        </x:is>
      </x:c>
    </x:row>
    <x:row r="12" ht="45" customHeight="1">
      <x:c r="A12" s="8" t="inlineStr">
        <x:is>
          <x:t xml:space="preserve">AstraZeneca</x:t>
        </x:is>
      </x:c>
      <x:c r="B12" s="9" t="inlineStr">
        <x:is>
          <x:t xml:space="preserve">Oncology</x:t>
        </x:is>
      </x:c>
      <x:c r="C12" s="9" t="inlineStr">
        <x:is>
          <x:t xml:space="preserve">Solid-tumor oncology</x:t>
        </x:is>
      </x:c>
      <x:c r="D12" s="9" t="inlineStr">
        <x:is>
          <x:t xml:space="preserve">volrustomig</x:t>
        </x:is>
      </x:c>
      <x:c r="E12" s="9" t="inlineStr">
        <x:is>
          <x:t xml:space="preserve">Phase III</x:t>
        </x:is>
      </x:c>
      <x:c r="F12" s="9" t="inlineStr">
        <x:is>
          <x:t xml:space="preserve">PD-1/CTLA-4 bispecific antibody</x:t>
        </x:is>
      </x:c>
      <x:c r="G12" s="9" t="inlineStr">
        <x:is>
          <x:t xml:space="preserve">NSCLC, cervical, head and neck, colorectal and mesothelioma</x:t>
        </x:is>
      </x:c>
      <x:c r="H12" s="9" t="inlineStr">
        <x:is>
          <x:t xml:space="preserve">2026-02-10</x:t>
        </x:is>
      </x:c>
      <x:c r="I12" s="9" t="inlineStr">
        <x:is>
          <x:t xml:space="preserve">https://www.astrazeneca.com/content/dam/az/Investor_Relations/annual-report-2025/pdf/AstraZeneca_Development_Pipeline_2025.pdf</x:t>
        </x:is>
      </x:c>
      <x:c r="J12" s="10" t="inlineStr">
        <x:is>
          <x:t xml:space="preserve">Multiple indications counted once under the lead asset.</x:t>
        </x:is>
      </x:c>
    </x:row>
    <x:row r="13" ht="45" customHeight="1">
      <x:c r="A13" s="8" t="inlineStr">
        <x:is>
          <x:t xml:space="preserve">AstraZeneca</x:t>
        </x:is>
      </x:c>
      <x:c r="B13" s="9" t="inlineStr">
        <x:is>
          <x:t xml:space="preserve">Oncology</x:t>
        </x:is>
      </x:c>
      <x:c r="C13" s="9" t="inlineStr">
        <x:is>
          <x:t xml:space="preserve">Hematology</x:t>
        </x:is>
      </x:c>
      <x:c r="D13" s="9" t="inlineStr">
        <x:is>
          <x:t xml:space="preserve">AZD0120</x:t>
        </x:is>
      </x:c>
      <x:c r="E13" s="9" t="inlineStr">
        <x:is>
          <x:t xml:space="preserve">Phase II</x:t>
        </x:is>
      </x:c>
      <x:c r="F13" s="9" t="inlineStr">
        <x:is>
          <x:t xml:space="preserve">CD19/BCMA CAR-T</x:t>
        </x:is>
      </x:c>
      <x:c r="G13" s="9" t="inlineStr">
        <x:is>
          <x:t xml:space="preserve">Multiple myeloma</x:t>
        </x:is>
      </x:c>
      <x:c r="H13" s="9" t="inlineStr">
        <x:is>
          <x:t xml:space="preserve">2026-02-10</x:t>
        </x:is>
      </x:c>
      <x:c r="I13" s="9" t="inlineStr">
        <x:is>
          <x:t xml:space="preserve">https://www.astrazeneca.com/content/dam/az/Investor_Relations/annual-report-2025/pdf/AstraZeneca_Development_Pipeline_2025.pdf</x:t>
        </x:is>
      </x:c>
      <x:c r="J13" s="10" t="inlineStr">
        <x:is>
          <x:t xml:space="preserve"/>
        </x:is>
      </x:c>
    </x:row>
    <x:row r="14" ht="45" customHeight="1">
      <x:c r="A14" s="8" t="inlineStr">
        <x:is>
          <x:t xml:space="preserve">AstraZeneca</x:t>
        </x:is>
      </x:c>
      <x:c r="B14" s="9" t="inlineStr">
        <x:is>
          <x:t xml:space="preserve">Oncology</x:t>
        </x:is>
      </x:c>
      <x:c r="C14" s="9" t="inlineStr">
        <x:is>
          <x:t xml:space="preserve">Hematology</x:t>
        </x:is>
      </x:c>
      <x:c r="D14" s="9" t="inlineStr">
        <x:is>
          <x:t xml:space="preserve">AZD0305</x:t>
        </x:is>
      </x:c>
      <x:c r="E14" s="9" t="inlineStr">
        <x:is>
          <x:t xml:space="preserve">Phase II</x:t>
        </x:is>
      </x:c>
      <x:c r="F14" s="9" t="inlineStr">
        <x:is>
          <x:t xml:space="preserve">GPRC5D MMAE antibody-drug conjugate</x:t>
        </x:is>
      </x:c>
      <x:c r="G14" s="9" t="inlineStr">
        <x:is>
          <x:t xml:space="preserve">Relapsed/refractory multiple myeloma</x:t>
        </x:is>
      </x:c>
      <x:c r="H14" s="9" t="inlineStr">
        <x:is>
          <x:t xml:space="preserve">2026-02-10</x:t>
        </x:is>
      </x:c>
      <x:c r="I14" s="9" t="inlineStr">
        <x:is>
          <x:t xml:space="preserve">https://www.astrazeneca.com/content/dam/az/Investor_Relations/annual-report-2025/pdf/AstraZeneca_Development_Pipeline_2025.pdf</x:t>
        </x:is>
      </x:c>
      <x:c r="J14" s="10" t="inlineStr">
        <x:is>
          <x:t xml:space="preserve"/>
        </x:is>
      </x:c>
    </x:row>
    <x:row r="15" ht="45" customHeight="1">
      <x:c r="A15" s="8" t="inlineStr">
        <x:is>
          <x:t xml:space="preserve">AstraZeneca</x:t>
        </x:is>
      </x:c>
      <x:c r="B15" s="9" t="inlineStr">
        <x:is>
          <x:t xml:space="preserve">Oncology</x:t>
        </x:is>
      </x:c>
      <x:c r="C15" s="9" t="inlineStr">
        <x:is>
          <x:t xml:space="preserve">Hematology</x:t>
        </x:is>
      </x:c>
      <x:c r="D15" s="9" t="inlineStr">
        <x:is>
          <x:t xml:space="preserve">AZD3470</x:t>
        </x:is>
      </x:c>
      <x:c r="E15" s="9" t="inlineStr">
        <x:is>
          <x:t xml:space="preserve">Phase II</x:t>
        </x:is>
      </x:c>
      <x:c r="F15" s="9" t="inlineStr">
        <x:is>
          <x:t xml:space="preserve">PRMT5 inhibitor</x:t>
        </x:is>
      </x:c>
      <x:c r="G15" s="9" t="inlineStr">
        <x:is>
          <x:t xml:space="preserve">Classical Hodgkin lymphoma; also early solid-tumor work</x:t>
        </x:is>
      </x:c>
      <x:c r="H15" s="9" t="inlineStr">
        <x:is>
          <x:t xml:space="preserve">2026-02-10</x:t>
        </x:is>
      </x:c>
      <x:c r="I15" s="9" t="inlineStr">
        <x:is>
          <x:t xml:space="preserve">https://www.astrazeneca.com/content/dam/az/Investor_Relations/annual-report-2025/pdf/AstraZeneca_Development_Pipeline_2025.pdf</x:t>
        </x:is>
      </x:c>
      <x:c r="J15" s="10" t="inlineStr">
        <x:is>
          <x:t xml:space="preserve">Classified to hematology based on the disclosed Phase II indication.</x:t>
        </x:is>
      </x:c>
    </x:row>
    <x:row r="16" ht="45" customHeight="1">
      <x:c r="A16" s="8" t="inlineStr">
        <x:is>
          <x:t xml:space="preserve">AstraZeneca</x:t>
        </x:is>
      </x:c>
      <x:c r="B16" s="9" t="inlineStr">
        <x:is>
          <x:t xml:space="preserve">Oncology</x:t>
        </x:is>
      </x:c>
      <x:c r="C16" s="9" t="inlineStr">
        <x:is>
          <x:t xml:space="preserve">Hematology</x:t>
        </x:is>
      </x:c>
      <x:c r="D16" s="9" t="inlineStr">
        <x:is>
          <x:t xml:space="preserve">surovatamig</x:t>
        </x:is>
      </x:c>
      <x:c r="E16" s="9" t="inlineStr">
        <x:is>
          <x:t xml:space="preserve">Phase III</x:t>
        </x:is>
      </x:c>
      <x:c r="F16" s="9" t="inlineStr">
        <x:is>
          <x:t xml:space="preserve">CD19/CD3 T-cell engager</x:t>
        </x:is>
      </x:c>
      <x:c r="G16" s="9" t="inlineStr">
        <x:is>
          <x:t xml:space="preserve">B-cell malignancies including DLBCL, follicular lymphoma and B-ALL</x:t>
        </x:is>
      </x:c>
      <x:c r="H16" s="9" t="inlineStr">
        <x:is>
          <x:t xml:space="preserve">2026-02-10</x:t>
        </x:is>
      </x:c>
      <x:c r="I16" s="9" t="inlineStr">
        <x:is>
          <x:t xml:space="preserve">https://www.astrazeneca.com/content/dam/az/Investor_Relations/annual-report-2025/pdf/AstraZeneca_Development_Pipeline_2025.pdf</x:t>
        </x:is>
      </x:c>
      <x:c r="J16" s="10" t="inlineStr">
        <x:is>
          <x:t xml:space="preserve">Multiple indications counted once under the lead asset.</x:t>
        </x:is>
      </x:c>
    </x:row>
    <x:row r="17" ht="45" customHeight="1">
      <x:c r="A17" s="8" t="inlineStr">
        <x:is>
          <x:t xml:space="preserve">AstraZeneca</x:t>
        </x:is>
      </x:c>
      <x:c r="B17" s="9" t="inlineStr">
        <x:is>
          <x:t xml:space="preserve">Respiratory &amp; Immunology</x:t>
        </x:is>
      </x:c>
      <x:c r="C17" s="9" t="inlineStr">
        <x:is>
          <x:t xml:space="preserve">Immunology, respiratory &amp; fibrosis</x:t>
        </x:is>
      </x:c>
      <x:c r="D17" s="9" t="inlineStr">
        <x:is>
          <x:t xml:space="preserve">atuliflapon</x:t>
        </x:is>
      </x:c>
      <x:c r="E17" s="9" t="inlineStr">
        <x:is>
          <x:t xml:space="preserve">Phase II</x:t>
        </x:is>
      </x:c>
      <x:c r="F17" s="9" t="inlineStr">
        <x:is>
          <x:t xml:space="preserve">FLAP inhibitor</x:t>
        </x:is>
      </x:c>
      <x:c r="G17" s="9" t="inlineStr">
        <x:is>
          <x:t xml:space="preserve">Asthma</x:t>
        </x:is>
      </x:c>
      <x:c r="H17" s="9" t="inlineStr">
        <x:is>
          <x:t xml:space="preserve">2026-02-10</x:t>
        </x:is>
      </x:c>
      <x:c r="I17" s="9" t="inlineStr">
        <x:is>
          <x:t xml:space="preserve">https://www.astrazeneca.com/content/dam/az/Investor_Relations/annual-report-2025/pdf/AstraZeneca_Development_Pipeline_2025.pdf</x:t>
        </x:is>
      </x:c>
      <x:c r="J17" s="10" t="inlineStr">
        <x:is>
          <x:t xml:space="preserve"/>
        </x:is>
      </x:c>
    </x:row>
    <x:row r="18" ht="45" customHeight="1">
      <x:c r="A18" s="8" t="inlineStr">
        <x:is>
          <x:t xml:space="preserve">AstraZeneca</x:t>
        </x:is>
      </x:c>
      <x:c r="B18" s="9" t="inlineStr">
        <x:is>
          <x:t xml:space="preserve">Respiratory &amp; Immunology</x:t>
        </x:is>
      </x:c>
      <x:c r="C18" s="9" t="inlineStr">
        <x:is>
          <x:t xml:space="preserve">Immunology, respiratory &amp; fibrosis</x:t>
        </x:is>
      </x:c>
      <x:c r="D18" s="9" t="inlineStr">
        <x:is>
          <x:t xml:space="preserve">AZD1163</x:t>
        </x:is>
      </x:c>
      <x:c r="E18" s="9" t="inlineStr">
        <x:is>
          <x:t xml:space="preserve">Phase II</x:t>
        </x:is>
      </x:c>
      <x:c r="F18" s="9" t="inlineStr">
        <x:is>
          <x:t xml:space="preserve">PAD2/4 bispecific antibody</x:t>
        </x:is>
      </x:c>
      <x:c r="G18" s="9" t="inlineStr">
        <x:is>
          <x:t xml:space="preserve">Rheumatoid arthritis</x:t>
        </x:is>
      </x:c>
      <x:c r="H18" s="9" t="inlineStr">
        <x:is>
          <x:t xml:space="preserve">2026-02-10</x:t>
        </x:is>
      </x:c>
      <x:c r="I18" s="9" t="inlineStr">
        <x:is>
          <x:t xml:space="preserve">https://www.astrazeneca.com/content/dam/az/Investor_Relations/annual-report-2025/pdf/AstraZeneca_Development_Pipeline_2025.pdf</x:t>
        </x:is>
      </x:c>
      <x:c r="J18" s="10" t="inlineStr">
        <x:is>
          <x:t xml:space="preserve"/>
        </x:is>
      </x:c>
    </x:row>
    <x:row r="19" ht="45" customHeight="1">
      <x:c r="A19" s="8" t="inlineStr">
        <x:is>
          <x:t xml:space="preserve">AstraZeneca</x:t>
        </x:is>
      </x:c>
      <x:c r="B19" s="9" t="inlineStr">
        <x:is>
          <x:t xml:space="preserve">Respiratory &amp; Immunology</x:t>
        </x:is>
      </x:c>
      <x:c r="C19" s="9" t="inlineStr">
        <x:is>
          <x:t xml:space="preserve">Immunology, respiratory &amp; fibrosis</x:t>
        </x:is>
      </x:c>
      <x:c r="D19" s="9" t="inlineStr">
        <x:is>
          <x:t xml:space="preserve">AZD4604</x:t>
        </x:is>
      </x:c>
      <x:c r="E19" s="9" t="inlineStr">
        <x:is>
          <x:t xml:space="preserve">Phase II</x:t>
        </x:is>
      </x:c>
      <x:c r="F19" s="9" t="inlineStr">
        <x:is>
          <x:t xml:space="preserve">Inhaled JAK1 inhibitor</x:t>
        </x:is>
      </x:c>
      <x:c r="G19" s="9" t="inlineStr">
        <x:is>
          <x:t xml:space="preserve">Asthma</x:t>
        </x:is>
      </x:c>
      <x:c r="H19" s="9" t="inlineStr">
        <x:is>
          <x:t xml:space="preserve">2026-02-10</x:t>
        </x:is>
      </x:c>
      <x:c r="I19" s="9" t="inlineStr">
        <x:is>
          <x:t xml:space="preserve">https://www.astrazeneca.com/content/dam/az/Investor_Relations/annual-report-2025/pdf/AstraZeneca_Development_Pipeline_2025.pdf</x:t>
        </x:is>
      </x:c>
      <x:c r="J19" s="10" t="inlineStr">
        <x:is>
          <x:t xml:space="preserve"/>
        </x:is>
      </x:c>
    </x:row>
    <x:row r="20" ht="45" customHeight="1">
      <x:c r="A20" s="8" t="inlineStr">
        <x:is>
          <x:t xml:space="preserve">AstraZeneca</x:t>
        </x:is>
      </x:c>
      <x:c r="B20" s="9" t="inlineStr">
        <x:is>
          <x:t xml:space="preserve">Respiratory &amp; Immunology</x:t>
        </x:is>
      </x:c>
      <x:c r="C20" s="9" t="inlineStr">
        <x:is>
          <x:t xml:space="preserve">Immunology, respiratory &amp; fibrosis</x:t>
        </x:is>
      </x:c>
      <x:c r="D20" s="9" t="inlineStr">
        <x:is>
          <x:t xml:space="preserve">AZD6793</x:t>
        </x:is>
      </x:c>
      <x:c r="E20" s="9" t="inlineStr">
        <x:is>
          <x:t xml:space="preserve">Phase II</x:t>
        </x:is>
      </x:c>
      <x:c r="F20" s="9" t="inlineStr">
        <x:is>
          <x:t xml:space="preserve">IRAK4 inhibitor</x:t>
        </x:is>
      </x:c>
      <x:c r="G20" s="9" t="inlineStr">
        <x:is>
          <x:t xml:space="preserve">COPD</x:t>
        </x:is>
      </x:c>
      <x:c r="H20" s="9" t="inlineStr">
        <x:is>
          <x:t xml:space="preserve">2026-02-10</x:t>
        </x:is>
      </x:c>
      <x:c r="I20" s="9" t="inlineStr">
        <x:is>
          <x:t xml:space="preserve">https://www.astrazeneca.com/content/dam/az/Investor_Relations/annual-report-2025/pdf/AstraZeneca_Development_Pipeline_2025.pdf</x:t>
        </x:is>
      </x:c>
      <x:c r="J20" s="10" t="inlineStr">
        <x:is>
          <x:t xml:space="preserve"/>
        </x:is>
      </x:c>
    </x:row>
    <x:row r="21" ht="45" customHeight="1">
      <x:c r="A21" s="8" t="inlineStr">
        <x:is>
          <x:t xml:space="preserve">AstraZeneca</x:t>
        </x:is>
      </x:c>
      <x:c r="B21" s="9" t="inlineStr">
        <x:is>
          <x:t xml:space="preserve">Respiratory &amp; Immunology</x:t>
        </x:is>
      </x:c>
      <x:c r="C21" s="9" t="inlineStr">
        <x:is>
          <x:t xml:space="preserve">Immunology, respiratory &amp; fibrosis</x:t>
        </x:is>
      </x:c>
      <x:c r="D21" s="9" t="inlineStr">
        <x:is>
          <x:t xml:space="preserve">AZD7798</x:t>
        </x:is>
      </x:c>
      <x:c r="E21" s="9" t="inlineStr">
        <x:is>
          <x:t xml:space="preserve">Phase II</x:t>
        </x:is>
      </x:c>
      <x:c r="F21" s="9" t="inlineStr">
        <x:is>
          <x:t xml:space="preserve">T-cell-subset-targeting monoclonal antibody</x:t>
        </x:is>
      </x:c>
      <x:c r="G21" s="9" t="inlineStr">
        <x:is>
          <x:t xml:space="preserve">Crohn's disease</x:t>
        </x:is>
      </x:c>
      <x:c r="H21" s="9" t="inlineStr">
        <x:is>
          <x:t xml:space="preserve">2026-02-10</x:t>
        </x:is>
      </x:c>
      <x:c r="I21" s="9" t="inlineStr">
        <x:is>
          <x:t xml:space="preserve">https://www.astrazeneca.com/content/dam/az/Investor_Relations/annual-report-2025/pdf/AstraZeneca_Development_Pipeline_2025.pdf</x:t>
        </x:is>
      </x:c>
      <x:c r="J21" s="10" t="inlineStr">
        <x:is>
          <x:t xml:space="preserve"/>
        </x:is>
      </x:c>
    </x:row>
    <x:row r="22" ht="45" customHeight="1">
      <x:c r="A22" s="8" t="inlineStr">
        <x:is>
          <x:t xml:space="preserve">AstraZeneca</x:t>
        </x:is>
      </x:c>
      <x:c r="B22" s="9" t="inlineStr">
        <x:is>
          <x:t xml:space="preserve">Respiratory &amp; Immunology</x:t>
        </x:is>
      </x:c>
      <x:c r="C22" s="9" t="inlineStr">
        <x:is>
          <x:t xml:space="preserve">Immunology, respiratory &amp; fibrosis</x:t>
        </x:is>
      </x:c>
      <x:c r="D22" s="9" t="inlineStr">
        <x:is>
          <x:t xml:space="preserve">AZD8630</x:t>
        </x:is>
      </x:c>
      <x:c r="E22" s="9" t="inlineStr">
        <x:is>
          <x:t xml:space="preserve">Phase II</x:t>
        </x:is>
      </x:c>
      <x:c r="F22" s="9" t="inlineStr">
        <x:is>
          <x:t xml:space="preserve">Inhaled TSLP Fab</x:t>
        </x:is>
      </x:c>
      <x:c r="G22" s="9" t="inlineStr">
        <x:is>
          <x:t xml:space="preserve">Asthma</x:t>
        </x:is>
      </x:c>
      <x:c r="H22" s="9" t="inlineStr">
        <x:is>
          <x:t xml:space="preserve">2026-02-10</x:t>
        </x:is>
      </x:c>
      <x:c r="I22" s="9" t="inlineStr">
        <x:is>
          <x:t xml:space="preserve">https://www.astrazeneca.com/content/dam/az/Investor_Relations/annual-report-2025/pdf/AstraZeneca_Development_Pipeline_2025.pdf</x:t>
        </x:is>
      </x:c>
      <x:c r="J22" s="10" t="inlineStr">
        <x:is>
          <x:t xml:space="preserve"/>
        </x:is>
      </x:c>
    </x:row>
    <x:row r="23" ht="45" customHeight="1">
      <x:c r="A23" s="8" t="inlineStr">
        <x:is>
          <x:t xml:space="preserve">AstraZeneca</x:t>
        </x:is>
      </x:c>
      <x:c r="B23" s="9" t="inlineStr">
        <x:is>
          <x:t xml:space="preserve">Respiratory &amp; Immunology</x:t>
        </x:is>
      </x:c>
      <x:c r="C23" s="9" t="inlineStr">
        <x:is>
          <x:t xml:space="preserve">Immunology, respiratory &amp; fibrosis</x:t>
        </x:is>
      </x:c>
      <x:c r="D23" s="9" t="inlineStr">
        <x:is>
          <x:t xml:space="preserve">tozorakimab</x:t>
        </x:is>
      </x:c>
      <x:c r="E23" s="9" t="inlineStr">
        <x:is>
          <x:t xml:space="preserve">Phase III</x:t>
        </x:is>
      </x:c>
      <x:c r="F23" s="9" t="inlineStr">
        <x:is>
          <x:t xml:space="preserve">IL-33 monoclonal antibody</x:t>
        </x:is>
      </x:c>
      <x:c r="G23" s="9" t="inlineStr">
        <x:is>
          <x:t xml:space="preserve">COPD and severe viral lower respiratory tract disease</x:t>
        </x:is>
      </x:c>
      <x:c r="H23" s="9" t="inlineStr">
        <x:is>
          <x:t xml:space="preserve">2026-02-10</x:t>
        </x:is>
      </x:c>
      <x:c r="I23" s="9" t="inlineStr">
        <x:is>
          <x:t xml:space="preserve">https://www.astrazeneca.com/content/dam/az/Investor_Relations/annual-report-2025/pdf/AstraZeneca_Development_Pipeline_2025.pdf</x:t>
        </x:is>
      </x:c>
      <x:c r="J23" s="10" t="inlineStr">
        <x:is>
          <x:t xml:space="preserve"/>
        </x:is>
      </x:c>
    </x:row>
    <x:row r="24" ht="45" customHeight="1">
      <x:c r="A24" s="8" t="inlineStr">
        <x:is>
          <x:t xml:space="preserve">AstraZeneca</x:t>
        </x:is>
      </x:c>
      <x:c r="B24" s="9" t="inlineStr">
        <x:is>
          <x:t xml:space="preserve">CVRM</x:t>
        </x:is>
      </x:c>
      <x:c r="C24" s="9" t="inlineStr">
        <x:is>
          <x:t xml:space="preserve">Cardiovascular</x:t>
        </x:is>
      </x:c>
      <x:c r="D24" s="9" t="inlineStr">
        <x:is>
          <x:t xml:space="preserve">AZD5462</x:t>
        </x:is>
      </x:c>
      <x:c r="E24" s="9" t="inlineStr">
        <x:is>
          <x:t xml:space="preserve">Phase II</x:t>
        </x:is>
      </x:c>
      <x:c r="F24" s="9" t="inlineStr">
        <x:is>
          <x:t xml:space="preserve">RXFP1 agonist</x:t>
        </x:is>
      </x:c>
      <x:c r="G24" s="9" t="inlineStr">
        <x:is>
          <x:t xml:space="preserve">Heart failure</x:t>
        </x:is>
      </x:c>
      <x:c r="H24" s="9" t="inlineStr">
        <x:is>
          <x:t xml:space="preserve">2026-02-10</x:t>
        </x:is>
      </x:c>
      <x:c r="I24" s="9" t="inlineStr">
        <x:is>
          <x:t xml:space="preserve">https://www.astrazeneca.com/content/dam/az/Investor_Relations/annual-report-2025/pdf/AstraZeneca_Development_Pipeline_2025.pdf</x:t>
        </x:is>
      </x:c>
      <x:c r="J24" s="10" t="inlineStr">
        <x:is>
          <x:t xml:space="preserve"/>
        </x:is>
      </x:c>
    </x:row>
    <x:row r="25" ht="45" customHeight="1">
      <x:c r="A25" s="8" t="inlineStr">
        <x:is>
          <x:t xml:space="preserve">AstraZeneca</x:t>
        </x:is>
      </x:c>
      <x:c r="B25" s="9" t="inlineStr">
        <x:is>
          <x:t xml:space="preserve">CVRM</x:t>
        </x:is>
      </x:c>
      <x:c r="C25" s="9" t="inlineStr">
        <x:is>
          <x:t xml:space="preserve">Cardiovascular</x:t>
        </x:is>
      </x:c>
      <x:c r="D25" s="9" t="inlineStr">
        <x:is>
          <x:t xml:space="preserve">baxdrostat</x:t>
        </x:is>
      </x:c>
      <x:c r="E25" s="9" t="inlineStr">
        <x:is>
          <x:t xml:space="preserve">Phase III / registration</x:t>
        </x:is>
      </x:c>
      <x:c r="F25" s="9" t="inlineStr">
        <x:is>
          <x:t xml:space="preserve">Aldosterone synthase inhibitor</x:t>
        </x:is>
      </x:c>
      <x:c r="G25" s="9" t="inlineStr">
        <x:is>
          <x:t xml:space="preserve">Hypertension and primary aldosteronism</x:t>
        </x:is>
      </x:c>
      <x:c r="H25" s="9" t="inlineStr">
        <x:is>
          <x:t xml:space="preserve">2026-02-10</x:t>
        </x:is>
      </x:c>
      <x:c r="I25" s="9" t="inlineStr">
        <x:is>
          <x:t xml:space="preserve">https://www.astrazeneca.com/content/dam/az/Investor_Relations/annual-report-2025/pdf/AstraZeneca_Development_Pipeline_2025.pdf</x:t>
        </x:is>
      </x:c>
      <x:c r="J25" s="10" t="inlineStr">
        <x:is>
          <x:t xml:space="preserve">Programs with dapagliflozin counted once under baxdrostat.</x:t>
        </x:is>
      </x:c>
    </x:row>
    <x:row r="26" ht="45" customHeight="1">
      <x:c r="A26" s="8" t="inlineStr">
        <x:is>
          <x:t xml:space="preserve">AstraZeneca</x:t>
        </x:is>
      </x:c>
      <x:c r="B26" s="9" t="inlineStr">
        <x:is>
          <x:t xml:space="preserve">CVRM</x:t>
        </x:is>
      </x:c>
      <x:c r="C26" s="9" t="inlineStr">
        <x:is>
          <x:t xml:space="preserve">Cardiovascular</x:t>
        </x:is>
      </x:c>
      <x:c r="D26" s="9" t="inlineStr">
        <x:is>
          <x:t xml:space="preserve">laroprovstat</x:t>
        </x:is>
      </x:c>
      <x:c r="E26" s="9" t="inlineStr">
        <x:is>
          <x:t xml:space="preserve">Phase III</x:t>
        </x:is>
      </x:c>
      <x:c r="F26" s="9" t="inlineStr">
        <x:is>
          <x:t xml:space="preserve">PCSK9 inhibitor</x:t>
        </x:is>
      </x:c>
      <x:c r="G26" s="9" t="inlineStr">
        <x:is>
          <x:t xml:space="preserve">Dyslipidemia</x:t>
        </x:is>
      </x:c>
      <x:c r="H26" s="9" t="inlineStr">
        <x:is>
          <x:t xml:space="preserve">2026-02-10</x:t>
        </x:is>
      </x:c>
      <x:c r="I26" s="9" t="inlineStr">
        <x:is>
          <x:t xml:space="preserve">https://www.astrazeneca.com/content/dam/az/Investor_Relations/annual-report-2025/pdf/AstraZeneca_Development_Pipeline_2025.pdf</x:t>
        </x:is>
      </x:c>
      <x:c r="J26" s="10" t="inlineStr">
        <x:is>
          <x:t xml:space="preserve"/>
        </x:is>
      </x:c>
    </x:row>
    <x:row r="27" ht="45" customHeight="1">
      <x:c r="A27" s="8" t="inlineStr">
        <x:is>
          <x:t xml:space="preserve">AstraZeneca</x:t>
        </x:is>
      </x:c>
      <x:c r="B27" s="9" t="inlineStr">
        <x:is>
          <x:t xml:space="preserve">CVRM</x:t>
        </x:is>
      </x:c>
      <x:c r="C27" s="9" t="inlineStr">
        <x:is>
          <x:t xml:space="preserve">Renal &amp; metabolic</x:t>
        </x:is>
      </x:c>
      <x:c r="D27" s="9" t="inlineStr">
        <x:is>
          <x:t xml:space="preserve">AZD2389</x:t>
        </x:is>
      </x:c>
      <x:c r="E27" s="9" t="inlineStr">
        <x:is>
          <x:t xml:space="preserve">Phase II</x:t>
        </x:is>
      </x:c>
      <x:c r="F27" s="9" t="inlineStr">
        <x:is>
          <x:t xml:space="preserve">Anti-fibrotic mechanism</x:t>
        </x:is>
      </x:c>
      <x:c r="G27" s="9" t="inlineStr">
        <x:is>
          <x:t xml:space="preserve">Metabolic dysfunction-associated steatohepatitis</x:t>
        </x:is>
      </x:c>
      <x:c r="H27" s="9" t="inlineStr">
        <x:is>
          <x:t xml:space="preserve">2026-02-10</x:t>
        </x:is>
      </x:c>
      <x:c r="I27" s="9" t="inlineStr">
        <x:is>
          <x:t xml:space="preserve">https://www.astrazeneca.com/content/dam/az/Investor_Relations/annual-report-2025/pdf/AstraZeneca_Development_Pipeline_2025.pdf</x:t>
        </x:is>
      </x:c>
      <x:c r="J27" s="10" t="inlineStr">
        <x:is>
          <x:t xml:space="preserve"/>
        </x:is>
      </x:c>
    </x:row>
    <x:row r="28" ht="45" customHeight="1">
      <x:c r="A28" s="8" t="inlineStr">
        <x:is>
          <x:t xml:space="preserve">AstraZeneca</x:t>
        </x:is>
      </x:c>
      <x:c r="B28" s="9" t="inlineStr">
        <x:is>
          <x:t xml:space="preserve">CVRM</x:t>
        </x:is>
      </x:c>
      <x:c r="C28" s="9" t="inlineStr">
        <x:is>
          <x:t xml:space="preserve">Renal &amp; metabolic</x:t>
        </x:is>
      </x:c>
      <x:c r="D28" s="9" t="inlineStr">
        <x:is>
          <x:t xml:space="preserve">AZD6234</x:t>
        </x:is>
      </x:c>
      <x:c r="E28" s="9" t="inlineStr">
        <x:is>
          <x:t xml:space="preserve">Phase II</x:t>
        </x:is>
      </x:c>
      <x:c r="F28" s="9" t="inlineStr">
        <x:is>
          <x:t xml:space="preserve">Peptide therapy</x:t>
        </x:is>
      </x:c>
      <x:c r="G28" s="9" t="inlineStr">
        <x:is>
          <x:t xml:space="preserve">Chronic weight management</x:t>
        </x:is>
      </x:c>
      <x:c r="H28" s="9" t="inlineStr">
        <x:is>
          <x:t xml:space="preserve">2026-02-10</x:t>
        </x:is>
      </x:c>
      <x:c r="I28" s="9" t="inlineStr">
        <x:is>
          <x:t xml:space="preserve">https://www.astrazeneca.com/content/dam/az/Investor_Relations/annual-report-2025/pdf/AstraZeneca_Development_Pipeline_2025.pdf</x:t>
        </x:is>
      </x:c>
      <x:c r="J28" s="10" t="inlineStr">
        <x:is>
          <x:t xml:space="preserve"/>
        </x:is>
      </x:c>
    </x:row>
    <x:row r="29" ht="45" customHeight="1">
      <x:c r="A29" s="8" t="inlineStr">
        <x:is>
          <x:t xml:space="preserve">AstraZeneca</x:t>
        </x:is>
      </x:c>
      <x:c r="B29" s="9" t="inlineStr">
        <x:is>
          <x:t xml:space="preserve">CVRM</x:t>
        </x:is>
      </x:c>
      <x:c r="C29" s="9" t="inlineStr">
        <x:is>
          <x:t xml:space="preserve">Renal &amp; metabolic</x:t>
        </x:is>
      </x:c>
      <x:c r="D29" s="9" t="inlineStr">
        <x:is>
          <x:t xml:space="preserve">AZD9550 + AZD6234</x:t>
        </x:is>
      </x:c>
      <x:c r="E29" s="9" t="inlineStr">
        <x:is>
          <x:t xml:space="preserve">Phase II</x:t>
        </x:is>
      </x:c>
      <x:c r="F29" s="9" t="inlineStr">
        <x:is>
          <x:t xml:space="preserve">GLP-1/glucagon dual agonist plus amylin agonist</x:t>
        </x:is>
      </x:c>
      <x:c r="G29" s="9" t="inlineStr">
        <x:is>
          <x:t xml:space="preserve">Obesity</x:t>
        </x:is>
      </x:c>
      <x:c r="H29" s="9" t="inlineStr">
        <x:is>
          <x:t xml:space="preserve">2026-02-10</x:t>
        </x:is>
      </x:c>
      <x:c r="I29" s="9" t="inlineStr">
        <x:is>
          <x:t xml:space="preserve">https://www.astrazeneca.com/content/dam/az/Investor_Relations/annual-report-2025/pdf/AstraZeneca_Development_Pipeline_2025.pdf</x:t>
        </x:is>
      </x:c>
      <x:c r="J29" s="10" t="inlineStr">
        <x:is>
          <x:t xml:space="preserve">Two-investigational-asset combination counted as one disclosed program.</x:t>
        </x:is>
      </x:c>
    </x:row>
    <x:row r="30" ht="45" customHeight="1">
      <x:c r="A30" s="8" t="inlineStr">
        <x:is>
          <x:t xml:space="preserve">AstraZeneca</x:t>
        </x:is>
      </x:c>
      <x:c r="B30" s="9" t="inlineStr">
        <x:is>
          <x:t xml:space="preserve">CVRM</x:t>
        </x:is>
      </x:c>
      <x:c r="C30" s="9" t="inlineStr">
        <x:is>
          <x:t xml:space="preserve">Renal &amp; metabolic</x:t>
        </x:is>
      </x:c>
      <x:c r="D30" s="9" t="inlineStr">
        <x:is>
          <x:t xml:space="preserve">balcinrenone / dapagliflozin</x:t>
        </x:is>
      </x:c>
      <x:c r="E30" s="9" t="inlineStr">
        <x:is>
          <x:t xml:space="preserve">Phase III</x:t>
        </x:is>
      </x:c>
      <x:c r="F30" s="9" t="inlineStr">
        <x:is>
          <x:t xml:space="preserve">Mineralocorticoid receptor modulator plus SGLT2 inhibitor</x:t>
        </x:is>
      </x:c>
      <x:c r="G30" s="9" t="inlineStr">
        <x:is>
          <x:t xml:space="preserve">CKD and heart failure with CKD</x:t>
        </x:is>
      </x:c>
      <x:c r="H30" s="9" t="inlineStr">
        <x:is>
          <x:t xml:space="preserve">2026-02-10</x:t>
        </x:is>
      </x:c>
      <x:c r="I30" s="9" t="inlineStr">
        <x:is>
          <x:t xml:space="preserve">https://www.astrazeneca.com/content/dam/az/Investor_Relations/annual-report-2025/pdf/AstraZeneca_Development_Pipeline_2025.pdf</x:t>
        </x:is>
      </x:c>
      <x:c r="J30" s="10" t="inlineStr">
        <x:is>
          <x:t xml:space="preserve"/>
        </x:is>
      </x:c>
    </x:row>
    <x:row r="31" ht="45" customHeight="1">
      <x:c r="A31" s="8" t="inlineStr">
        <x:is>
          <x:t xml:space="preserve">AstraZeneca</x:t>
        </x:is>
      </x:c>
      <x:c r="B31" s="9" t="inlineStr">
        <x:is>
          <x:t xml:space="preserve">CVRM</x:t>
        </x:is>
      </x:c>
      <x:c r="C31" s="9" t="inlineStr">
        <x:is>
          <x:t xml:space="preserve">Renal &amp; metabolic</x:t>
        </x:is>
      </x:c>
      <x:c r="D31" s="9" t="inlineStr">
        <x:is>
          <x:t xml:space="preserve">elecoglipron (AZD5004)</x:t>
        </x:is>
      </x:c>
      <x:c r="E31" s="9" t="inlineStr">
        <x:is>
          <x:t xml:space="preserve">Phase II</x:t>
        </x:is>
      </x:c>
      <x:c r="F31" s="9" t="inlineStr">
        <x:is>
          <x:t xml:space="preserve">Oral GLP-1 receptor agonist</x:t>
        </x:is>
      </x:c>
      <x:c r="G31" s="9" t="inlineStr">
        <x:is>
          <x:t xml:space="preserve">Type 2 diabetes and chronic weight management</x:t>
        </x:is>
      </x:c>
      <x:c r="H31" s="9" t="inlineStr">
        <x:is>
          <x:t xml:space="preserve">2026-02-10</x:t>
        </x:is>
      </x:c>
      <x:c r="I31" s="9" t="inlineStr">
        <x:is>
          <x:t xml:space="preserve">https://www.astrazeneca.com/content/dam/az/Investor_Relations/annual-report-2025/pdf/AstraZeneca_Development_Pipeline_2025.pdf</x:t>
        </x:is>
      </x:c>
      <x:c r="J31" s="10" t="inlineStr">
        <x:is>
          <x:t xml:space="preserve"/>
        </x:is>
      </x:c>
    </x:row>
    <x:row r="32" ht="45" customHeight="1">
      <x:c r="A32" s="8" t="inlineStr">
        <x:is>
          <x:t xml:space="preserve">AstraZeneca</x:t>
        </x:is>
      </x:c>
      <x:c r="B32" s="9" t="inlineStr">
        <x:is>
          <x:t xml:space="preserve">CVRM</x:t>
        </x:is>
      </x:c>
      <x:c r="C32" s="9" t="inlineStr">
        <x:is>
          <x:t xml:space="preserve">Renal &amp; metabolic</x:t>
        </x:is>
      </x:c>
      <x:c r="D32" s="9" t="inlineStr">
        <x:is>
          <x:t xml:space="preserve">opemalirsen</x:t>
        </x:is>
      </x:c>
      <x:c r="E32" s="9" t="inlineStr">
        <x:is>
          <x:t xml:space="preserve">Phase II</x:t>
        </x:is>
      </x:c>
      <x:c r="F32" s="9" t="inlineStr">
        <x:is>
          <x:t xml:space="preserve">Podocyte-health therapeutic</x:t>
        </x:is>
      </x:c>
      <x:c r="G32" s="9" t="inlineStr">
        <x:is>
          <x:t xml:space="preserve">Nephropathy</x:t>
        </x:is>
      </x:c>
      <x:c r="H32" s="9" t="inlineStr">
        <x:is>
          <x:t xml:space="preserve">2026-02-10</x:t>
        </x:is>
      </x:c>
      <x:c r="I32" s="9" t="inlineStr">
        <x:is>
          <x:t xml:space="preserve">https://www.astrazeneca.com/content/dam/az/Investor_Relations/annual-report-2025/pdf/AstraZeneca_Development_Pipeline_2025.pdf</x:t>
        </x:is>
      </x:c>
      <x:c r="J32" s="10" t="inlineStr">
        <x:is>
          <x:t xml:space="preserve"/>
        </x:is>
      </x:c>
    </x:row>
    <x:row r="33" ht="45" customHeight="1">
      <x:c r="A33" s="8" t="inlineStr">
        <x:is>
          <x:t xml:space="preserve">AstraZeneca</x:t>
        </x:is>
      </x:c>
      <x:c r="B33" s="9" t="inlineStr">
        <x:is>
          <x:t xml:space="preserve">CVRM</x:t>
        </x:is>
      </x:c>
      <x:c r="C33" s="9" t="inlineStr">
        <x:is>
          <x:t xml:space="preserve">Renal &amp; metabolic</x:t>
        </x:is>
      </x:c>
      <x:c r="D33" s="9" t="inlineStr">
        <x:is>
          <x:t xml:space="preserve">zibotentan / dapagliflozin</x:t>
        </x:is>
      </x:c>
      <x:c r="E33" s="9" t="inlineStr">
        <x:is>
          <x:t xml:space="preserve">Phase III</x:t>
        </x:is>
      </x:c>
      <x:c r="F33" s="9" t="inlineStr">
        <x:is>
          <x:t xml:space="preserve">Endothelin-A receptor antagonist plus SGLT2 inhibitor</x:t>
        </x:is>
      </x:c>
      <x:c r="G33" s="9" t="inlineStr">
        <x:is>
          <x:t xml:space="preserve">CKD with high proteinuria</x:t>
        </x:is>
      </x:c>
      <x:c r="H33" s="9" t="inlineStr">
        <x:is>
          <x:t xml:space="preserve">2026-02-10</x:t>
        </x:is>
      </x:c>
      <x:c r="I33" s="9" t="inlineStr">
        <x:is>
          <x:t xml:space="preserve">https://www.astrazeneca.com/content/dam/az/Investor_Relations/annual-report-2025/pdf/AstraZeneca_Development_Pipeline_2025.pdf</x:t>
        </x:is>
      </x:c>
      <x:c r="J33" s="10" t="inlineStr">
        <x:is>
          <x:t xml:space="preserve"/>
        </x:is>
      </x:c>
    </x:row>
    <x:row r="34" ht="45" customHeight="1">
      <x:c r="A34" s="8" t="inlineStr">
        <x:is>
          <x:t xml:space="preserve">AstraZeneca</x:t>
        </x:is>
      </x:c>
      <x:c r="B34" s="9" t="inlineStr">
        <x:is>
          <x:t xml:space="preserve">Rare Disease</x:t>
        </x:is>
      </x:c>
      <x:c r="C34" s="9" t="inlineStr">
        <x:is>
          <x:t xml:space="preserve">Rare disease</x:t>
        </x:is>
      </x:c>
      <x:c r="D34" s="9" t="inlineStr">
        <x:is>
          <x:t xml:space="preserve">ALXN1920</x:t>
        </x:is>
      </x:c>
      <x:c r="E34" s="9" t="inlineStr">
        <x:is>
          <x:t xml:space="preserve">Phase II</x:t>
        </x:is>
      </x:c>
      <x:c r="F34" s="9" t="inlineStr">
        <x:is>
          <x:t xml:space="preserve">Kidney-targeted factor H fusion protein</x:t>
        </x:is>
      </x:c>
      <x:c r="G34" s="9" t="inlineStr">
        <x:is>
          <x:t xml:space="preserve">Primary membranous nephropathy</x:t>
        </x:is>
      </x:c>
      <x:c r="H34" s="9" t="inlineStr">
        <x:is>
          <x:t xml:space="preserve">2026-02-10</x:t>
        </x:is>
      </x:c>
      <x:c r="I34" s="9" t="inlineStr">
        <x:is>
          <x:t xml:space="preserve">https://www.astrazeneca.com/content/dam/az/Investor_Relations/annual-report-2025/pdf/AstraZeneca_Development_Pipeline_2025.pdf</x:t>
        </x:is>
      </x:c>
      <x:c r="J34" s="10" t="inlineStr">
        <x:is>
          <x:t xml:space="preserve"/>
        </x:is>
      </x:c>
    </x:row>
    <x:row r="35" ht="45" customHeight="1">
      <x:c r="A35" s="8" t="inlineStr">
        <x:is>
          <x:t xml:space="preserve">AstraZeneca</x:t>
        </x:is>
      </x:c>
      <x:c r="B35" s="9" t="inlineStr">
        <x:is>
          <x:t xml:space="preserve">Rare Disease</x:t>
        </x:is>
      </x:c>
      <x:c r="C35" s="9" t="inlineStr">
        <x:is>
          <x:t xml:space="preserve">Rare disease</x:t>
        </x:is>
      </x:c>
      <x:c r="D35" s="9" t="inlineStr">
        <x:is>
          <x:t xml:space="preserve">ALXN2030</x:t>
        </x:is>
      </x:c>
      <x:c r="E35" s="9" t="inlineStr">
        <x:is>
          <x:t xml:space="preserve">Phase II</x:t>
        </x:is>
      </x:c>
      <x:c r="F35" s="9" t="inlineStr">
        <x:is>
          <x:t xml:space="preserve">Complement C3-targeting siRNA</x:t>
        </x:is>
      </x:c>
      <x:c r="G35" s="9" t="inlineStr">
        <x:is>
          <x:t xml:space="preserve">Antibody-mediated rejection</x:t>
        </x:is>
      </x:c>
      <x:c r="H35" s="9" t="inlineStr">
        <x:is>
          <x:t xml:space="preserve">2026-02-10</x:t>
        </x:is>
      </x:c>
      <x:c r="I35" s="9" t="inlineStr">
        <x:is>
          <x:t xml:space="preserve">https://www.astrazeneca.com/content/dam/az/Investor_Relations/annual-report-2025/pdf/AstraZeneca_Development_Pipeline_2025.pdf</x:t>
        </x:is>
      </x:c>
      <x:c r="J35" s="10" t="inlineStr">
        <x:is>
          <x:t xml:space="preserve"/>
        </x:is>
      </x:c>
    </x:row>
    <x:row r="36" ht="45" customHeight="1">
      <x:c r="A36" s="8" t="inlineStr">
        <x:is>
          <x:t xml:space="preserve">AstraZeneca</x:t>
        </x:is>
      </x:c>
      <x:c r="B36" s="9" t="inlineStr">
        <x:is>
          <x:t xml:space="preserve">Rare Disease</x:t>
        </x:is>
      </x:c>
      <x:c r="C36" s="9" t="inlineStr">
        <x:is>
          <x:t xml:space="preserve">Rare disease</x:t>
        </x:is>
      </x:c>
      <x:c r="D36" s="9" t="inlineStr">
        <x:is>
          <x:t xml:space="preserve">ALXN2420</x:t>
        </x:is>
      </x:c>
      <x:c r="E36" s="9" t="inlineStr">
        <x:is>
          <x:t xml:space="preserve">Phase II</x:t>
        </x:is>
      </x:c>
      <x:c r="F36" s="9" t="inlineStr">
        <x:is>
          <x:t xml:space="preserve">Growth hormone receptor antagonist</x:t>
        </x:is>
      </x:c>
      <x:c r="G36" s="9" t="inlineStr">
        <x:is>
          <x:t xml:space="preserve">Acromegaly</x:t>
        </x:is>
      </x:c>
      <x:c r="H36" s="9" t="inlineStr">
        <x:is>
          <x:t xml:space="preserve">2026-02-10</x:t>
        </x:is>
      </x:c>
      <x:c r="I36" s="9" t="inlineStr">
        <x:is>
          <x:t xml:space="preserve">https://www.astrazeneca.com/content/dam/az/Investor_Relations/annual-report-2025/pdf/AstraZeneca_Development_Pipeline_2025.pdf</x:t>
        </x:is>
      </x:c>
      <x:c r="J36" s="10" t="inlineStr">
        <x:is>
          <x:t xml:space="preserve"/>
        </x:is>
      </x:c>
    </x:row>
    <x:row r="37" ht="45" customHeight="1">
      <x:c r="A37" s="8" t="inlineStr">
        <x:is>
          <x:t xml:space="preserve">AstraZeneca</x:t>
        </x:is>
      </x:c>
      <x:c r="B37" s="9" t="inlineStr">
        <x:is>
          <x:t xml:space="preserve">Rare Disease</x:t>
        </x:is>
      </x:c>
      <x:c r="C37" s="9" t="inlineStr">
        <x:is>
          <x:t xml:space="preserve">Rare disease</x:t>
        </x:is>
      </x:c>
      <x:c r="D37" s="9" t="inlineStr">
        <x:is>
          <x:t xml:space="preserve">tarperprumig</x:t>
        </x:is>
      </x:c>
      <x:c r="E37" s="9" t="inlineStr">
        <x:is>
          <x:t xml:space="preserve">Phase II</x:t>
        </x:is>
      </x:c>
      <x:c r="F37" s="9" t="inlineStr">
        <x:is>
          <x:t xml:space="preserve">Kinase inhibitor</x:t>
        </x:is>
      </x:c>
      <x:c r="G37" s="9" t="inlineStr">
        <x:is>
          <x:t xml:space="preserve">ANCA-associated vasculitis</x:t>
        </x:is>
      </x:c>
      <x:c r="H37" s="9" t="inlineStr">
        <x:is>
          <x:t xml:space="preserve">2026-02-10</x:t>
        </x:is>
      </x:c>
      <x:c r="I37" s="9" t="inlineStr">
        <x:is>
          <x:t xml:space="preserve">https://www.astrazeneca.com/content/dam/az/Investor_Relations/annual-report-2025/pdf/AstraZeneca_Development_Pipeline_2025.pdf</x:t>
        </x:is>
      </x:c>
      <x:c r="J37" s="10" t="inlineStr">
        <x:is>
          <x:t xml:space="preserve"/>
        </x:is>
      </x:c>
    </x:row>
    <x:row r="38" ht="45" customHeight="1">
      <x:c r="A38" s="8" t="inlineStr">
        <x:is>
          <x:t xml:space="preserve">AstraZeneca</x:t>
        </x:is>
      </x:c>
      <x:c r="B38" s="9" t="inlineStr">
        <x:is>
          <x:t xml:space="preserve">Rare Disease</x:t>
        </x:is>
      </x:c>
      <x:c r="C38" s="9" t="inlineStr">
        <x:is>
          <x:t xml:space="preserve">Rare disease</x:t>
        </x:is>
      </x:c>
      <x:c r="D38" s="9" t="inlineStr">
        <x:is>
          <x:t xml:space="preserve">anselamimab</x:t>
        </x:is>
      </x:c>
      <x:c r="E38" s="9" t="inlineStr">
        <x:is>
          <x:t xml:space="preserve">Phase III / registration</x:t>
        </x:is>
      </x:c>
      <x:c r="F38" s="9" t="inlineStr">
        <x:is>
          <x:t xml:space="preserve">Fibril-reactive monoclonal antibody</x:t>
        </x:is>
      </x:c>
      <x:c r="G38" s="9" t="inlineStr">
        <x:is>
          <x:t xml:space="preserve">AL amyloidosis</x:t>
        </x:is>
      </x:c>
      <x:c r="H38" s="9" t="inlineStr">
        <x:is>
          <x:t xml:space="preserve">2026-02-10</x:t>
        </x:is>
      </x:c>
      <x:c r="I38" s="9" t="inlineStr">
        <x:is>
          <x:t xml:space="preserve">https://www.astrazeneca.com/content/dam/az/Investor_Relations/annual-report-2025/pdf/AstraZeneca_Development_Pipeline_2025.pdf</x:t>
        </x:is>
      </x:c>
      <x:c r="J38" s="10" t="inlineStr">
        <x:is>
          <x:t xml:space="preserve"/>
        </x:is>
      </x:c>
    </x:row>
    <x:row r="39" ht="45" customHeight="1">
      <x:c r="A39" s="8" t="inlineStr">
        <x:is>
          <x:t xml:space="preserve">AstraZeneca</x:t>
        </x:is>
      </x:c>
      <x:c r="B39" s="9" t="inlineStr">
        <x:is>
          <x:t xml:space="preserve">Rare Disease</x:t>
        </x:is>
      </x:c>
      <x:c r="C39" s="9" t="inlineStr">
        <x:is>
          <x:t xml:space="preserve">Rare disease</x:t>
        </x:is>
      </x:c>
      <x:c r="D39" s="9" t="inlineStr">
        <x:is>
          <x:t xml:space="preserve">cliramitug</x:t>
        </x:is>
      </x:c>
      <x:c r="E39" s="9" t="inlineStr">
        <x:is>
          <x:t xml:space="preserve">Phase III</x:t>
        </x:is>
      </x:c>
      <x:c r="F39" s="9" t="inlineStr">
        <x:is>
          <x:t xml:space="preserve">Transthyretin depleter</x:t>
        </x:is>
      </x:c>
      <x:c r="G39" s="9" t="inlineStr">
        <x:is>
          <x:t xml:space="preserve">Transthyretin amyloid cardiomyopathy</x:t>
        </x:is>
      </x:c>
      <x:c r="H39" s="9" t="inlineStr">
        <x:is>
          <x:t xml:space="preserve">2026-02-10</x:t>
        </x:is>
      </x:c>
      <x:c r="I39" s="9" t="inlineStr">
        <x:is>
          <x:t xml:space="preserve">https://www.astrazeneca.com/content/dam/az/Investor_Relations/annual-report-2025/pdf/AstraZeneca_Development_Pipeline_2025.pdf</x:t>
        </x:is>
      </x:c>
      <x:c r="J39" s="10" t="inlineStr">
        <x:is>
          <x:t xml:space="preserve"/>
        </x:is>
      </x:c>
    </x:row>
    <x:row r="40" ht="45" customHeight="1">
      <x:c r="A40" s="8" t="inlineStr">
        <x:is>
          <x:t xml:space="preserve">AstraZeneca</x:t>
        </x:is>
      </x:c>
      <x:c r="B40" s="9" t="inlineStr">
        <x:is>
          <x:t xml:space="preserve">Rare Disease</x:t>
        </x:is>
      </x:c>
      <x:c r="C40" s="9" t="inlineStr">
        <x:is>
          <x:t xml:space="preserve">Rare disease</x:t>
        </x:is>
      </x:c>
      <x:c r="D40" s="9" t="inlineStr">
        <x:is>
          <x:t xml:space="preserve">efzimfotase alfa</x:t>
        </x:is>
      </x:c>
      <x:c r="E40" s="9" t="inlineStr">
        <x:is>
          <x:t xml:space="preserve">Phase III</x:t>
        </x:is>
      </x:c>
      <x:c r="F40" s="9" t="inlineStr">
        <x:is>
          <x:t xml:space="preserve">Next-generation TNSALP enzyme replacement therapy</x:t>
        </x:is>
      </x:c>
      <x:c r="G40" s="9" t="inlineStr">
        <x:is>
          <x:t xml:space="preserve">Hypophosphatasia</x:t>
        </x:is>
      </x:c>
      <x:c r="H40" s="9" t="inlineStr">
        <x:is>
          <x:t xml:space="preserve">2026-02-10</x:t>
        </x:is>
      </x:c>
      <x:c r="I40" s="9" t="inlineStr">
        <x:is>
          <x:t xml:space="preserve">https://www.astrazeneca.com/content/dam/az/Investor_Relations/annual-report-2025/pdf/AstraZeneca_Development_Pipeline_2025.pdf</x:t>
        </x:is>
      </x:c>
      <x:c r="J40" s="10" t="inlineStr">
        <x:is>
          <x:t xml:space="preserve"/>
        </x:is>
      </x:c>
    </x:row>
    <x:row r="41" ht="45" customHeight="1">
      <x:c r="A41" s="8" t="inlineStr">
        <x:is>
          <x:t xml:space="preserve">AstraZeneca</x:t>
        </x:is>
      </x:c>
      <x:c r="B41" s="9" t="inlineStr">
        <x:is>
          <x:t xml:space="preserve">Rare Disease</x:t>
        </x:is>
      </x:c>
      <x:c r="C41" s="9" t="inlineStr">
        <x:is>
          <x:t xml:space="preserve">Rare disease</x:t>
        </x:is>
      </x:c>
      <x:c r="D41" s="9" t="inlineStr">
        <x:is>
          <x:t xml:space="preserve">eneboparatide</x:t>
        </x:is>
      </x:c>
      <x:c r="E41" s="9" t="inlineStr">
        <x:is>
          <x:t xml:space="preserve">Phase III</x:t>
        </x:is>
      </x:c>
      <x:c r="F41" s="9" t="inlineStr">
        <x:is>
          <x:t xml:space="preserve">Parathyroid hormone receptor 1 agonist</x:t>
        </x:is>
      </x:c>
      <x:c r="G41" s="9" t="inlineStr">
        <x:is>
          <x:t xml:space="preserve">Hypoparathyroidism</x:t>
        </x:is>
      </x:c>
      <x:c r="H41" s="9" t="inlineStr">
        <x:is>
          <x:t xml:space="preserve">2026-02-10</x:t>
        </x:is>
      </x:c>
      <x:c r="I41" s="9" t="inlineStr">
        <x:is>
          <x:t xml:space="preserve">https://www.astrazeneca.com/content/dam/az/Investor_Relations/annual-report-2025/pdf/AstraZeneca_Development_Pipeline_2025.pdf</x:t>
        </x:is>
      </x:c>
      <x:c r="J41" s="10" t="inlineStr">
        <x:is>
          <x:t xml:space="preserve"/>
        </x:is>
      </x:c>
    </x:row>
    <x:row r="42" ht="45" customHeight="1">
      <x:c r="A42" s="8" t="inlineStr">
        <x:is>
          <x:t xml:space="preserve">AstraZeneca</x:t>
        </x:is>
      </x:c>
      <x:c r="B42" s="9" t="inlineStr">
        <x:is>
          <x:t xml:space="preserve">Rare Disease</x:t>
        </x:is>
      </x:c>
      <x:c r="C42" s="9" t="inlineStr">
        <x:is>
          <x:t xml:space="preserve">Rare disease</x:t>
        </x:is>
      </x:c>
      <x:c r="D42" s="9" t="inlineStr">
        <x:is>
          <x:t xml:space="preserve">gefurulimab</x:t>
        </x:is>
      </x:c>
      <x:c r="E42" s="9" t="inlineStr">
        <x:is>
          <x:t xml:space="preserve">Phase III / registration</x:t>
        </x:is>
      </x:c>
      <x:c r="F42" s="9" t="inlineStr">
        <x:is>
          <x:t xml:space="preserve">Dual-binding anti-C5 nanobody</x:t>
        </x:is>
      </x:c>
      <x:c r="G42" s="9" t="inlineStr">
        <x:is>
          <x:t xml:space="preserve">Generalized myasthenia gravis</x:t>
        </x:is>
      </x:c>
      <x:c r="H42" s="9" t="inlineStr">
        <x:is>
          <x:t xml:space="preserve">2026-02-10</x:t>
        </x:is>
      </x:c>
      <x:c r="I42" s="9" t="inlineStr">
        <x:is>
          <x:t xml:space="preserve">https://www.astrazeneca.com/content/dam/az/Investor_Relations/annual-report-2025/pdf/AstraZeneca_Development_Pipeline_2025.pdf</x:t>
        </x:is>
      </x:c>
      <x:c r="J42" s="10" t="inlineStr">
        <x:is>
          <x:t xml:space="preserve"/>
        </x:is>
      </x:c>
    </x:row>
    <x:row r="43" ht="45" customHeight="1">
      <x:c r="A43" s="8" t="inlineStr">
        <x:is>
          <x:t xml:space="preserve">AstraZeneca</x:t>
        </x:is>
      </x:c>
      <x:c r="B43" s="9" t="inlineStr">
        <x:is>
          <x:t xml:space="preserve">Vaccines &amp; Immune Therapies</x:t>
        </x:is>
      </x:c>
      <x:c r="C43" s="9" t="inlineStr">
        <x:is>
          <x:t xml:space="preserve">Infectious disease</x:t>
        </x:is>
      </x:c>
      <x:c r="D43" s="9" t="inlineStr">
        <x:is>
          <x:t xml:space="preserve">AZD0292</x:t>
        </x:is>
      </x:c>
      <x:c r="E43" s="9" t="inlineStr">
        <x:is>
          <x:t xml:space="preserve">Phase II</x:t>
        </x:is>
      </x:c>
      <x:c r="F43" s="9" t="inlineStr">
        <x:is>
          <x:t xml:space="preserve">Pseudomonas Psl/PcrV bispecific antibody</x:t>
        </x:is>
      </x:c>
      <x:c r="G43" s="9" t="inlineStr">
        <x:is>
          <x:t xml:space="preserve">Bronchiectasis</x:t>
        </x:is>
      </x:c>
      <x:c r="H43" s="9" t="inlineStr">
        <x:is>
          <x:t xml:space="preserve">2026-02-10</x:t>
        </x:is>
      </x:c>
      <x:c r="I43" s="9" t="inlineStr">
        <x:is>
          <x:t xml:space="preserve">https://www.astrazeneca.com/content/dam/az/Investor_Relations/annual-report-2025/pdf/AstraZeneca_Development_Pipeline_2025.pdf</x:t>
        </x:is>
      </x:c>
      <x:c r="J43" s="10" t="inlineStr">
        <x:is>
          <x:t xml:space="preserve"/>
        </x:is>
      </x:c>
    </x:row>
    <x:row r="44" ht="45" customHeight="1">
      <x:c r="A44" s="8" t="inlineStr">
        <x:is>
          <x:t xml:space="preserve">AstraZeneca</x:t>
        </x:is>
      </x:c>
      <x:c r="B44" s="9" t="inlineStr">
        <x:is>
          <x:t xml:space="preserve">Vaccines &amp; Immune Therapies</x:t>
        </x:is>
      </x:c>
      <x:c r="C44" s="9" t="inlineStr">
        <x:is>
          <x:t xml:space="preserve">Infectious disease</x:t>
        </x:is>
      </x:c>
      <x:c r="D44" s="9" t="inlineStr">
        <x:is>
          <x:t xml:space="preserve">AZD5148</x:t>
        </x:is>
      </x:c>
      <x:c r="E44" s="9" t="inlineStr">
        <x:is>
          <x:t xml:space="preserve">Phase II</x:t>
        </x:is>
      </x:c>
      <x:c r="F44" s="9" t="inlineStr">
        <x:is>
          <x:t xml:space="preserve">C. difficile TcdB monoclonal antibody</x:t>
        </x:is>
      </x:c>
      <x:c r="G44" s="9" t="inlineStr">
        <x:is>
          <x:t xml:space="preserve">Reduction of C. difficile recurrence</x:t>
        </x:is>
      </x:c>
      <x:c r="H44" s="9" t="inlineStr">
        <x:is>
          <x:t xml:space="preserve">2026-02-10</x:t>
        </x:is>
      </x:c>
      <x:c r="I44" s="9" t="inlineStr">
        <x:is>
          <x:t xml:space="preserve">https://www.astrazeneca.com/content/dam/az/Investor_Relations/annual-report-2025/pdf/AstraZeneca_Development_Pipeline_2025.pdf</x:t>
        </x:is>
      </x:c>
      <x:c r="J44" s="10" t="inlineStr">
        <x:is>
          <x:t xml:space="preserve"/>
        </x:is>
      </x:c>
    </x:row>
    <x:row r="45" ht="45" customHeight="1">
      <x:c r="A45" s="8" t="inlineStr">
        <x:is>
          <x:t xml:space="preserve">AstraZeneca</x:t>
        </x:is>
      </x:c>
      <x:c r="B45" s="9" t="inlineStr">
        <x:is>
          <x:t xml:space="preserve">Vaccines &amp; Immune Therapies</x:t>
        </x:is>
      </x:c>
      <x:c r="C45" s="9" t="inlineStr">
        <x:is>
          <x:t xml:space="preserve">Infectious disease</x:t>
        </x:is>
      </x:c>
      <x:c r="D45" s="9" t="inlineStr">
        <x:is>
          <x:t xml:space="preserve">AZD7760</x:t>
        </x:is>
      </x:c>
      <x:c r="E45" s="9" t="inlineStr">
        <x:is>
          <x:t xml:space="preserve">Phase II</x:t>
        </x:is>
      </x:c>
      <x:c r="F45" s="9" t="inlineStr">
        <x:is>
          <x:t xml:space="preserve">Anti-virulence monoclonal antibody combination</x:t>
        </x:is>
      </x:c>
      <x:c r="G45" s="9" t="inlineStr">
        <x:is>
          <x:t xml:space="preserve">Prevention of Staphylococcus aureus infection</x:t>
        </x:is>
      </x:c>
      <x:c r="H45" s="9" t="inlineStr">
        <x:is>
          <x:t xml:space="preserve">2026-02-10</x:t>
        </x:is>
      </x:c>
      <x:c r="I45" s="9" t="inlineStr">
        <x:is>
          <x:t xml:space="preserve">https://www.astrazeneca.com/content/dam/az/Investor_Relations/annual-report-2025/pdf/AstraZeneca_Development_Pipeline_2025.pdf</x:t>
        </x:is>
      </x:c>
      <x:c r="J45" s="10" t="inlineStr">
        <x:is>
          <x:t xml:space="preserve"/>
        </x:is>
      </x:c>
    </x:row>
    <x:row r="46" ht="45" customHeight="1">
      <x:c r="A46" s="11" t="inlineStr">
        <x:is>
          <x:t xml:space="preserve">Bristol Myers Squibb</x:t>
        </x:is>
      </x:c>
      <x:c r="B46" s="9" t="inlineStr">
        <x:is>
          <x:t xml:space="preserve">Oncology</x:t>
        </x:is>
      </x:c>
      <x:c r="C46" s="9" t="inlineStr">
        <x:is>
          <x:t xml:space="preserve">Solid-tumor oncology</x:t>
        </x:is>
      </x:c>
      <x:c r="D46" s="9" t="inlineStr">
        <x:is>
          <x:t xml:space="preserve">pumitamig</x:t>
        </x:is>
      </x:c>
      <x:c r="E46" s="9" t="inlineStr">
        <x:is>
          <x:t xml:space="preserve">Phase III</x:t>
        </x:is>
      </x:c>
      <x:c r="F46" s="9" t="inlineStr">
        <x:is>
          <x:t xml:space="preserve">PD-L1 x VEGF-A bispecific antibody</x:t>
        </x:is>
      </x:c>
      <x:c r="G46" s="9" t="inlineStr">
        <x:is>
          <x:t xml:space="preserve">NSCLC, ES-SCLC, TNBC and other solid tumors</x:t>
        </x:is>
      </x:c>
      <x:c r="H46" s="9" t="inlineStr">
        <x:is>
          <x:t xml:space="preserve">2026-02-05</x:t>
        </x:is>
      </x:c>
      <x:c r="I46" s="9" t="inlineStr">
        <x:is>
          <x:t xml:space="preserve">https://annual-report.bms.com/assets/bms-ar/documents/2025/2025-bms-development-portfolio.pdf</x:t>
        </x:is>
      </x:c>
      <x:c r="J46" s="10" t="inlineStr">
        <x:is>
          <x:t xml:space="preserve">Multiple indications counted once under the lead asset.</x:t>
        </x:is>
      </x:c>
    </x:row>
    <x:row r="47" ht="45" customHeight="1">
      <x:c r="A47" s="11" t="inlineStr">
        <x:is>
          <x:t xml:space="preserve">Bristol Myers Squibb</x:t>
        </x:is>
      </x:c>
      <x:c r="B47" s="9" t="inlineStr">
        <x:is>
          <x:t xml:space="preserve">Oncology</x:t>
        </x:is>
      </x:c>
      <x:c r="C47" s="9" t="inlineStr">
        <x:is>
          <x:t xml:space="preserve">Solid-tumor oncology</x:t>
        </x:is>
      </x:c>
      <x:c r="D47" s="9" t="inlineStr">
        <x:is>
          <x:t xml:space="preserve">izalontamab brengitecan (iza-bren)</x:t>
        </x:is>
      </x:c>
      <x:c r="E47" s="9" t="inlineStr">
        <x:is>
          <x:t xml:space="preserve">Phase II</x:t>
        </x:is>
      </x:c>
      <x:c r="F47" s="9" t="inlineStr">
        <x:is>
          <x:t xml:space="preserve">EGFR x HER3 bispecific antibody-drug conjugate</x:t>
        </x:is>
      </x:c>
      <x:c r="G47" s="9" t="inlineStr">
        <x:is>
          <x:t xml:space="preserve">TNBC, EGFR-mutated NSCLC and urothelial cancer</x:t>
        </x:is>
      </x:c>
      <x:c r="H47" s="9" t="inlineStr">
        <x:is>
          <x:t xml:space="preserve">2026-02-05</x:t>
        </x:is>
      </x:c>
      <x:c r="I47" s="9" t="inlineStr">
        <x:is>
          <x:t xml:space="preserve">https://annual-report.bms.com/assets/bms-ar/documents/2025/2025-bms-development-portfolio.pdf</x:t>
        </x:is>
      </x:c>
      <x:c r="J47" s="10" t="inlineStr">
        <x:is>
          <x:t xml:space="preserve"/>
        </x:is>
      </x:c>
    </x:row>
    <x:row r="48" ht="45" customHeight="1">
      <x:c r="A48" s="11" t="inlineStr">
        <x:is>
          <x:t xml:space="preserve">Bristol Myers Squibb</x:t>
        </x:is>
      </x:c>
      <x:c r="B48" s="9" t="inlineStr">
        <x:is>
          <x:t xml:space="preserve">Oncology</x:t>
        </x:is>
      </x:c>
      <x:c r="C48" s="9" t="inlineStr">
        <x:is>
          <x:t xml:space="preserve">Solid-tumor oncology</x:t>
        </x:is>
      </x:c>
      <x:c r="D48" s="9" t="inlineStr">
        <x:is>
          <x:t xml:space="preserve">navlimetostat</x:t>
        </x:is>
      </x:c>
      <x:c r="E48" s="9" t="inlineStr">
        <x:is>
          <x:t xml:space="preserve">Phase II</x:t>
        </x:is>
      </x:c>
      <x:c r="F48" s="9" t="inlineStr">
        <x:is>
          <x:t xml:space="preserve">PRMT5 inhibitor</x:t>
        </x:is>
      </x:c>
      <x:c r="G48" s="9" t="inlineStr">
        <x:is>
          <x:t xml:space="preserve">NSCLC, pancreatic cancer and other solid tumors</x:t>
        </x:is>
      </x:c>
      <x:c r="H48" s="9" t="inlineStr">
        <x:is>
          <x:t xml:space="preserve">2026-02-05</x:t>
        </x:is>
      </x:c>
      <x:c r="I48" s="9" t="inlineStr">
        <x:is>
          <x:t xml:space="preserve">https://annual-report.bms.com/assets/bms-ar/documents/2025/2025-bms-development-portfolio.pdf</x:t>
        </x:is>
      </x:c>
      <x:c r="J48" s="10" t="inlineStr">
        <x:is>
          <x:t xml:space="preserve"/>
        </x:is>
      </x:c>
    </x:row>
    <x:row r="49" ht="45" customHeight="1">
      <x:c r="A49" s="11" t="inlineStr">
        <x:is>
          <x:t xml:space="preserve">Bristol Myers Squibb</x:t>
        </x:is>
      </x:c>
      <x:c r="B49" s="9" t="inlineStr">
        <x:is>
          <x:t xml:space="preserve">Oncology</x:t>
        </x:is>
      </x:c>
      <x:c r="C49" s="9" t="inlineStr">
        <x:is>
          <x:t xml:space="preserve">Solid-tumor oncology</x:t>
        </x:is>
      </x:c>
      <x:c r="D49" s="9" t="inlineStr">
        <x:is>
          <x:t xml:space="preserve">AR ligand-directed degrader</x:t>
        </x:is>
      </x:c>
      <x:c r="E49" s="9" t="inlineStr">
        <x:is>
          <x:t xml:space="preserve">Phase III</x:t>
        </x:is>
      </x:c>
      <x:c r="F49" s="9" t="inlineStr">
        <x:is>
          <x:t xml:space="preserve">Androgen receptor ligand-directed degrader</x:t>
        </x:is>
      </x:c>
      <x:c r="G49" s="9" t="inlineStr">
        <x:is>
          <x:t xml:space="preserve">Metastatic castration-resistant prostate cancer</x:t>
        </x:is>
      </x:c>
      <x:c r="H49" s="9" t="inlineStr">
        <x:is>
          <x:t xml:space="preserve">2026-02-05</x:t>
        </x:is>
      </x:c>
      <x:c r="I49" s="9" t="inlineStr">
        <x:is>
          <x:t xml:space="preserve">https://annual-report.bms.com/assets/bms-ar/documents/2025/2025-bms-development-portfolio.pdf</x:t>
        </x:is>
      </x:c>
      <x:c r="J49" s="10" t="inlineStr">
        <x:is>
          <x:t xml:space="preserve"/>
        </x:is>
      </x:c>
    </x:row>
    <x:row r="50" ht="45" customHeight="1">
      <x:c r="A50" s="11" t="inlineStr">
        <x:is>
          <x:t xml:space="preserve">Bristol Myers Squibb</x:t>
        </x:is>
      </x:c>
      <x:c r="B50" s="9" t="inlineStr">
        <x:is>
          <x:t xml:space="preserve">Oncology</x:t>
        </x:is>
      </x:c>
      <x:c r="C50" s="9" t="inlineStr">
        <x:is>
          <x:t xml:space="preserve">Solid-tumor oncology</x:t>
        </x:is>
      </x:c>
      <x:c r="D50" s="9" t="inlineStr">
        <x:is>
          <x:t xml:space="preserve">atigotatug + nivolumab</x:t>
        </x:is>
      </x:c>
      <x:c r="E50" s="9" t="inlineStr">
        <x:is>
          <x:t xml:space="preserve">Phase III</x:t>
        </x:is>
      </x:c>
      <x:c r="F50" s="9" t="inlineStr">
        <x:is>
          <x:t xml:space="preserve">Investigational immuno-oncology combination</x:t>
        </x:is>
      </x:c>
      <x:c r="G50" s="9" t="inlineStr">
        <x:is>
          <x:t xml:space="preserve">First-line extensive-stage small-cell lung cancer</x:t>
        </x:is>
      </x:c>
      <x:c r="H50" s="9" t="inlineStr">
        <x:is>
          <x:t xml:space="preserve">2026-02-05</x:t>
        </x:is>
      </x:c>
      <x:c r="I50" s="9" t="inlineStr">
        <x:is>
          <x:t xml:space="preserve">https://annual-report.bms.com/assets/bms-ar/documents/2025/2025-bms-development-portfolio.pdf</x:t>
        </x:is>
      </x:c>
      <x:c r="J50" s="10" t="inlineStr">
        <x:is>
          <x:t xml:space="preserve"/>
        </x:is>
      </x:c>
    </x:row>
    <x:row r="51" ht="45" customHeight="1">
      <x:c r="A51" s="11" t="inlineStr">
        <x:is>
          <x:t xml:space="preserve">Bristol Myers Squibb</x:t>
        </x:is>
      </x:c>
      <x:c r="B51" s="9" t="inlineStr">
        <x:is>
          <x:t xml:space="preserve">Oncology</x:t>
        </x:is>
      </x:c>
      <x:c r="C51" s="9" t="inlineStr">
        <x:is>
          <x:t xml:space="preserve">Solid-tumor oncology</x:t>
        </x:is>
      </x:c>
      <x:c r="D51" s="9" t="inlineStr">
        <x:is>
          <x:t xml:space="preserve">nivolumab + relatlimab HD</x:t>
        </x:is>
      </x:c>
      <x:c r="E51" s="9" t="inlineStr">
        <x:is>
          <x:t xml:space="preserve">Phase III</x:t>
        </x:is>
      </x:c>
      <x:c r="F51" s="9" t="inlineStr">
        <x:is>
          <x:t xml:space="preserve">PD-1 plus LAG-3 immuno-oncology combination</x:t>
        </x:is>
      </x:c>
      <x:c r="G51" s="9" t="inlineStr">
        <x:is>
          <x:t xml:space="preserve">First-line NSCLC with PD-L1 &gt;=1%</x:t>
        </x:is>
      </x:c>
      <x:c r="H51" s="9" t="inlineStr">
        <x:is>
          <x:t xml:space="preserve">2026-02-05</x:t>
        </x:is>
      </x:c>
      <x:c r="I51" s="9" t="inlineStr">
        <x:is>
          <x:t xml:space="preserve">https://annual-report.bms.com/assets/bms-ar/documents/2025/2025-bms-development-portfolio.pdf</x:t>
        </x:is>
      </x:c>
      <x:c r="J51" s="10" t="inlineStr">
        <x:is>
          <x:t xml:space="preserve"/>
        </x:is>
      </x:c>
    </x:row>
    <x:row r="52" ht="45" customHeight="1">
      <x:c r="A52" s="11" t="inlineStr">
        <x:is>
          <x:t xml:space="preserve">Bristol Myers Squibb</x:t>
        </x:is>
      </x:c>
      <x:c r="B52" s="9" t="inlineStr">
        <x:is>
          <x:t xml:space="preserve">Oncology</x:t>
        </x:is>
      </x:c>
      <x:c r="C52" s="9" t="inlineStr">
        <x:is>
          <x:t xml:space="preserve">Solid-tumor oncology</x:t>
        </x:is>
      </x:c>
      <x:c r="D52" s="9" t="inlineStr">
        <x:is>
          <x:t xml:space="preserve">RYZ101</x:t>
        </x:is>
      </x:c>
      <x:c r="E52" s="9" t="inlineStr">
        <x:is>
          <x:t xml:space="preserve">Phase III</x:t>
        </x:is>
      </x:c>
      <x:c r="F52" s="9" t="inlineStr">
        <x:is>
          <x:t xml:space="preserve">SSTR2-targeted radiopharmaceutical</x:t>
        </x:is>
      </x:c>
      <x:c r="G52" s="9" t="inlineStr">
        <x:is>
          <x:t xml:space="preserve">SSTR2-positive gastroenteropancreatic neuroendocrine tumors</x:t>
        </x:is>
      </x:c>
      <x:c r="H52" s="9" t="inlineStr">
        <x:is>
          <x:t xml:space="preserve">2026-02-05</x:t>
        </x:is>
      </x:c>
      <x:c r="I52" s="9" t="inlineStr">
        <x:is>
          <x:t xml:space="preserve">https://annual-report.bms.com/assets/bms-ar/documents/2025/2025-bms-development-portfolio.pdf</x:t>
        </x:is>
      </x:c>
      <x:c r="J52" s="10" t="inlineStr">
        <x:is>
          <x:t xml:space="preserve"/>
        </x:is>
      </x:c>
    </x:row>
    <x:row r="53" ht="45" customHeight="1">
      <x:c r="A53" s="11" t="inlineStr">
        <x:is>
          <x:t xml:space="preserve">Bristol Myers Squibb</x:t>
        </x:is>
      </x:c>
      <x:c r="B53" s="9" t="inlineStr">
        <x:is>
          <x:t xml:space="preserve">Hematology</x:t>
        </x:is>
      </x:c>
      <x:c r="C53" s="9" t="inlineStr">
        <x:is>
          <x:t xml:space="preserve">Hematology</x:t>
        </x:is>
      </x:c>
      <x:c r="D53" s="9" t="inlineStr">
        <x:is>
          <x:t xml:space="preserve">arlo-cel</x:t>
        </x:is>
      </x:c>
      <x:c r="E53" s="9" t="inlineStr">
        <x:is>
          <x:t xml:space="preserve">Phase III</x:t>
        </x:is>
      </x:c>
      <x:c r="F53" s="9" t="inlineStr">
        <x:is>
          <x:t xml:space="preserve">GPRC5D-directed autologous CAR-T</x:t>
        </x:is>
      </x:c>
      <x:c r="G53" s="9" t="inlineStr">
        <x:is>
          <x:t xml:space="preserve">Multiple myeloma</x:t>
        </x:is>
      </x:c>
      <x:c r="H53" s="9" t="inlineStr">
        <x:is>
          <x:t xml:space="preserve">2026-02-05</x:t>
        </x:is>
      </x:c>
      <x:c r="I53" s="9" t="inlineStr">
        <x:is>
          <x:t xml:space="preserve">https://annual-report.bms.com/assets/bms-ar/documents/2025/2025-bms-development-portfolio.pdf</x:t>
        </x:is>
      </x:c>
      <x:c r="J53" s="10" t="inlineStr">
        <x:is>
          <x:t xml:space="preserve"/>
        </x:is>
      </x:c>
    </x:row>
    <x:row r="54" ht="45" customHeight="1">
      <x:c r="A54" s="11" t="inlineStr">
        <x:is>
          <x:t xml:space="preserve">Bristol Myers Squibb</x:t>
        </x:is>
      </x:c>
      <x:c r="B54" s="9" t="inlineStr">
        <x:is>
          <x:t xml:space="preserve">Hematology</x:t>
        </x:is>
      </x:c>
      <x:c r="C54" s="9" t="inlineStr">
        <x:is>
          <x:t xml:space="preserve">Hematology</x:t>
        </x:is>
      </x:c>
      <x:c r="D54" s="9" t="inlineStr">
        <x:is>
          <x:t xml:space="preserve">golcadomide</x:t>
        </x:is>
      </x:c>
      <x:c r="E54" s="9" t="inlineStr">
        <x:is>
          <x:t xml:space="preserve">Phase III</x:t>
        </x:is>
      </x:c>
      <x:c r="F54" s="9" t="inlineStr">
        <x:is>
          <x:t xml:space="preserve">CELMoD / targeted protein degradation</x:t>
        </x:is>
      </x:c>
      <x:c r="G54" s="9" t="inlineStr">
        <x:is>
          <x:t xml:space="preserve">Follicular lymphoma and high-risk large B-cell lymphoma</x:t>
        </x:is>
      </x:c>
      <x:c r="H54" s="9" t="inlineStr">
        <x:is>
          <x:t xml:space="preserve">2026-02-05</x:t>
        </x:is>
      </x:c>
      <x:c r="I54" s="9" t="inlineStr">
        <x:is>
          <x:t xml:space="preserve">https://annual-report.bms.com/assets/bms-ar/documents/2025/2025-bms-development-portfolio.pdf</x:t>
        </x:is>
      </x:c>
      <x:c r="J54" s="10" t="inlineStr">
        <x:is>
          <x:t xml:space="preserve"/>
        </x:is>
      </x:c>
    </x:row>
    <x:row r="55" ht="45" customHeight="1">
      <x:c r="A55" s="11" t="inlineStr">
        <x:is>
          <x:t xml:space="preserve">Bristol Myers Squibb</x:t>
        </x:is>
      </x:c>
      <x:c r="B55" s="9" t="inlineStr">
        <x:is>
          <x:t xml:space="preserve">Hematology</x:t>
        </x:is>
      </x:c>
      <x:c r="C55" s="9" t="inlineStr">
        <x:is>
          <x:t xml:space="preserve">Hematology</x:t>
        </x:is>
      </x:c>
      <x:c r="D55" s="9" t="inlineStr">
        <x:is>
          <x:t xml:space="preserve">iberdomide</x:t>
        </x:is>
      </x:c>
      <x:c r="E55" s="9" t="inlineStr">
        <x:is>
          <x:t xml:space="preserve">Phase III</x:t>
        </x:is>
      </x:c>
      <x:c r="F55" s="9" t="inlineStr">
        <x:is>
          <x:t xml:space="preserve">CELMoD / targeted protein degradation</x:t>
        </x:is>
      </x:c>
      <x:c r="G55" s="9" t="inlineStr">
        <x:is>
          <x:t xml:space="preserve">Multiple myeloma</x:t>
        </x:is>
      </x:c>
      <x:c r="H55" s="9" t="inlineStr">
        <x:is>
          <x:t xml:space="preserve">2026-02-05</x:t>
        </x:is>
      </x:c>
      <x:c r="I55" s="9" t="inlineStr">
        <x:is>
          <x:t xml:space="preserve">https://annual-report.bms.com/assets/bms-ar/documents/2025/2025-bms-development-portfolio.pdf</x:t>
        </x:is>
      </x:c>
      <x:c r="J55" s="10" t="inlineStr">
        <x:is>
          <x:t xml:space="preserve"/>
        </x:is>
      </x:c>
    </x:row>
    <x:row r="56" ht="45" customHeight="1">
      <x:c r="A56" s="11" t="inlineStr">
        <x:is>
          <x:t xml:space="preserve">Bristol Myers Squibb</x:t>
        </x:is>
      </x:c>
      <x:c r="B56" s="9" t="inlineStr">
        <x:is>
          <x:t xml:space="preserve">Hematology</x:t>
        </x:is>
      </x:c>
      <x:c r="C56" s="9" t="inlineStr">
        <x:is>
          <x:t xml:space="preserve">Hematology</x:t>
        </x:is>
      </x:c>
      <x:c r="D56" s="9" t="inlineStr">
        <x:is>
          <x:t xml:space="preserve">mezigdomide</x:t>
        </x:is>
      </x:c>
      <x:c r="E56" s="9" t="inlineStr">
        <x:is>
          <x:t xml:space="preserve">Phase III / registration</x:t>
        </x:is>
      </x:c>
      <x:c r="F56" s="9" t="inlineStr">
        <x:is>
          <x:t xml:space="preserve">CELMoD / targeted protein degradation</x:t>
        </x:is>
      </x:c>
      <x:c r="G56" s="9" t="inlineStr">
        <x:is>
          <x:t xml:space="preserve">Relapsed/refractory multiple myeloma</x:t>
        </x:is>
      </x:c>
      <x:c r="H56" s="9" t="inlineStr">
        <x:is>
          <x:t xml:space="preserve">2026-02-05</x:t>
        </x:is>
      </x:c>
      <x:c r="I56" s="9" t="inlineStr">
        <x:is>
          <x:t xml:space="preserve">https://annual-report.bms.com/assets/bms-ar/documents/2025/2025-bms-development-portfolio.pdf</x:t>
        </x:is>
      </x:c>
      <x:c r="J56" s="10" t="inlineStr">
        <x:is>
          <x:t xml:space="preserve"/>
        </x:is>
      </x:c>
    </x:row>
    <x:row r="57" ht="45" customHeight="1">
      <x:c r="A57" s="11" t="inlineStr">
        <x:is>
          <x:t xml:space="preserve">Bristol Myers Squibb</x:t>
        </x:is>
      </x:c>
      <x:c r="B57" s="9" t="inlineStr">
        <x:is>
          <x:t xml:space="preserve">Immunology</x:t>
        </x:is>
      </x:c>
      <x:c r="C57" s="9" t="inlineStr">
        <x:is>
          <x:t xml:space="preserve">Immunology, respiratory &amp; fibrosis</x:t>
        </x:is>
      </x:c>
      <x:c r="D57" s="9" t="inlineStr">
        <x:is>
          <x:t xml:space="preserve">zola-cel (CD19 NEX-T)</x:t>
        </x:is>
      </x:c>
      <x:c r="E57" s="9" t="inlineStr">
        <x:is>
          <x:t xml:space="preserve">Phase III</x:t>
        </x:is>
      </x:c>
      <x:c r="F57" s="9" t="inlineStr">
        <x:is>
          <x:t xml:space="preserve">CD19-directed CAR-T cell therapy</x:t>
        </x:is>
      </x:c>
      <x:c r="G57" s="9" t="inlineStr">
        <x:is>
          <x:t xml:space="preserve">Systemic lupus erythematosus and systemic sclerosis</x:t>
        </x:is>
      </x:c>
      <x:c r="H57" s="9" t="inlineStr">
        <x:is>
          <x:t xml:space="preserve">2026-02-05</x:t>
        </x:is>
      </x:c>
      <x:c r="I57" s="9" t="inlineStr">
        <x:is>
          <x:t xml:space="preserve">https://annual-report.bms.com/assets/bms-ar/documents/2025/2025-bms-development-portfolio.pdf</x:t>
        </x:is>
      </x:c>
      <x:c r="J57" s="10" t="inlineStr">
        <x:is>
          <x:t xml:space="preserve"/>
        </x:is>
      </x:c>
    </x:row>
    <x:row r="58" ht="45" customHeight="1">
      <x:c r="A58" s="11" t="inlineStr">
        <x:is>
          <x:t xml:space="preserve">Bristol Myers Squibb</x:t>
        </x:is>
      </x:c>
      <x:c r="B58" s="9" t="inlineStr">
        <x:is>
          <x:t xml:space="preserve">Immunology</x:t>
        </x:is>
      </x:c>
      <x:c r="C58" s="9" t="inlineStr">
        <x:is>
          <x:t xml:space="preserve">Immunology, respiratory &amp; fibrosis</x:t>
        </x:is>
      </x:c>
      <x:c r="D58" s="9" t="inlineStr">
        <x:is>
          <x:t xml:space="preserve">admilparant</x:t>
        </x:is>
      </x:c>
      <x:c r="E58" s="9" t="inlineStr">
        <x:is>
          <x:t xml:space="preserve">Phase III</x:t>
        </x:is>
      </x:c>
      <x:c r="F58" s="9" t="inlineStr">
        <x:is>
          <x:t xml:space="preserve">Oral LPA1 antagonist</x:t>
        </x:is>
      </x:c>
      <x:c r="G58" s="9" t="inlineStr">
        <x:is>
          <x:t xml:space="preserve">Idiopathic and progressive pulmonary fibrosis</x:t>
        </x:is>
      </x:c>
      <x:c r="H58" s="9" t="inlineStr">
        <x:is>
          <x:t xml:space="preserve">2026-02-05</x:t>
        </x:is>
      </x:c>
      <x:c r="I58" s="9" t="inlineStr">
        <x:is>
          <x:t xml:space="preserve">https://annual-report.bms.com/assets/bms-ar/documents/2025/2025-bms-development-portfolio.pdf</x:t>
        </x:is>
      </x:c>
      <x:c r="J58" s="10" t="inlineStr">
        <x:is>
          <x:t xml:space="preserve"/>
        </x:is>
      </x:c>
    </x:row>
    <x:row r="59" ht="45" customHeight="1">
      <x:c r="A59" s="11" t="inlineStr">
        <x:is>
          <x:t xml:space="preserve">Bristol Myers Squibb</x:t>
        </x:is>
      </x:c>
      <x:c r="B59" s="9" t="inlineStr">
        <x:is>
          <x:t xml:space="preserve">Immunology</x:t>
        </x:is>
      </x:c>
      <x:c r="C59" s="9" t="inlineStr">
        <x:is>
          <x:t xml:space="preserve">Immunology, respiratory &amp; fibrosis</x:t>
        </x:is>
      </x:c>
      <x:c r="D59" s="9" t="inlineStr">
        <x:is>
          <x:t xml:space="preserve">obexelimab</x:t>
        </x:is>
      </x:c>
      <x:c r="E59" s="9" t="inlineStr">
        <x:is>
          <x:t xml:space="preserve">Phase III</x:t>
        </x:is>
      </x:c>
      <x:c r="F59" s="9" t="inlineStr">
        <x:is>
          <x:t xml:space="preserve">B-cell-directed monoclonal antibody</x:t>
        </x:is>
      </x:c>
      <x:c r="G59" s="9" t="inlineStr">
        <x:is>
          <x:t xml:space="preserve">IgG4-related disease</x:t>
        </x:is>
      </x:c>
      <x:c r="H59" s="9" t="inlineStr">
        <x:is>
          <x:t xml:space="preserve">2026-02-05</x:t>
        </x:is>
      </x:c>
      <x:c r="I59" s="9" t="inlineStr">
        <x:is>
          <x:t xml:space="preserve">https://annual-report.bms.com/assets/bms-ar/documents/2025/2025-bms-development-portfolio.pdf</x:t>
        </x:is>
      </x:c>
      <x:c r="J59" s="10" t="inlineStr">
        <x:is>
          <x:t xml:space="preserve"/>
        </x:is>
      </x:c>
    </x:row>
    <x:row r="60" ht="45" customHeight="1">
      <x:c r="A60" s="11" t="inlineStr">
        <x:is>
          <x:t xml:space="preserve">Bristol Myers Squibb</x:t>
        </x:is>
      </x:c>
      <x:c r="B60" s="9" t="inlineStr">
        <x:is>
          <x:t xml:space="preserve">Cardiovascular</x:t>
        </x:is>
      </x:c>
      <x:c r="C60" s="9" t="inlineStr">
        <x:is>
          <x:t xml:space="preserve">Cardiovascular</x:t>
        </x:is>
      </x:c>
      <x:c r="D60" s="9" t="inlineStr">
        <x:is>
          <x:t xml:space="preserve">MYK-224</x:t>
        </x:is>
      </x:c>
      <x:c r="E60" s="9" t="inlineStr">
        <x:is>
          <x:t xml:space="preserve">Phase II</x:t>
        </x:is>
      </x:c>
      <x:c r="F60" s="9" t="inlineStr">
        <x:is>
          <x:t xml:space="preserve">Cardiac myosin inhibitor</x:t>
        </x:is>
      </x:c>
      <x:c r="G60" s="9" t="inlineStr">
        <x:is>
          <x:t xml:space="preserve">Heart failure with preserved ejection fraction</x:t>
        </x:is>
      </x:c>
      <x:c r="H60" s="9" t="inlineStr">
        <x:is>
          <x:t xml:space="preserve">2026-02-05</x:t>
        </x:is>
      </x:c>
      <x:c r="I60" s="9" t="inlineStr">
        <x:is>
          <x:t xml:space="preserve">https://annual-report.bms.com/assets/bms-ar/documents/2025/2025-bms-development-portfolio.pdf</x:t>
        </x:is>
      </x:c>
      <x:c r="J60" s="10" t="inlineStr">
        <x:is>
          <x:t xml:space="preserve"/>
        </x:is>
      </x:c>
    </x:row>
    <x:row r="61" ht="45" customHeight="1">
      <x:c r="A61" s="11" t="inlineStr">
        <x:is>
          <x:t xml:space="preserve">Bristol Myers Squibb</x:t>
        </x:is>
      </x:c>
      <x:c r="B61" s="9" t="inlineStr">
        <x:is>
          <x:t xml:space="preserve">Cardiovascular</x:t>
        </x:is>
      </x:c>
      <x:c r="C61" s="9" t="inlineStr">
        <x:is>
          <x:t xml:space="preserve">Cardiovascular</x:t>
        </x:is>
      </x:c>
      <x:c r="D61" s="9" t="inlineStr">
        <x:is>
          <x:t xml:space="preserve">milvexian</x:t>
        </x:is>
      </x:c>
      <x:c r="E61" s="9" t="inlineStr">
        <x:is>
          <x:t xml:space="preserve">Phase III</x:t>
        </x:is>
      </x:c>
      <x:c r="F61" s="9" t="inlineStr">
        <x:is>
          <x:t xml:space="preserve">Factor XIa inhibitor</x:t>
        </x:is>
      </x:c>
      <x:c r="G61" s="9" t="inlineStr">
        <x:is>
          <x:t xml:space="preserve">Atrial fibrillation and secondary stroke prevention</x:t>
        </x:is>
      </x:c>
      <x:c r="H61" s="9" t="inlineStr">
        <x:is>
          <x:t xml:space="preserve">2026-02-05</x:t>
        </x:is>
      </x:c>
      <x:c r="I61" s="9" t="inlineStr">
        <x:is>
          <x:t xml:space="preserve">https://annual-report.bms.com/assets/bms-ar/documents/2025/2025-bms-development-portfolio.pdf</x:t>
        </x:is>
      </x:c>
      <x:c r="J61" s="10" t="inlineStr">
        <x:is>
          <x:t xml:space="preserve"/>
        </x:is>
      </x:c>
    </x:row>
    <x:row r="62" ht="45" customHeight="1">
      <x:c r="A62" s="11" t="inlineStr">
        <x:is>
          <x:t xml:space="preserve">Bristol Myers Squibb</x:t>
        </x:is>
      </x:c>
      <x:c r="B62" s="9" t="inlineStr">
        <x:is>
          <x:t xml:space="preserve">Neuroscience</x:t>
        </x:is>
      </x:c>
      <x:c r="C62" s="9" t="inlineStr">
        <x:is>
          <x:t xml:space="preserve">Neuroscience</x:t>
        </x:is>
      </x:c>
      <x:c r="D62" s="9" t="inlineStr">
        <x:is>
          <x:t xml:space="preserve">anti-MTBR tau</x:t>
        </x:is>
      </x:c>
      <x:c r="E62" s="9" t="inlineStr">
        <x:is>
          <x:t xml:space="preserve">Phase II</x:t>
        </x:is>
      </x:c>
      <x:c r="F62" s="9" t="inlineStr">
        <x:is>
          <x:t xml:space="preserve">Tau-targeting monoclonal antibody</x:t>
        </x:is>
      </x:c>
      <x:c r="G62" s="9" t="inlineStr">
        <x:is>
          <x:t xml:space="preserve">Alzheimer's disease</x:t>
        </x:is>
      </x:c>
      <x:c r="H62" s="9" t="inlineStr">
        <x:is>
          <x:t xml:space="preserve">2026-02-05</x:t>
        </x:is>
      </x:c>
      <x:c r="I62" s="9" t="inlineStr">
        <x:is>
          <x:t xml:space="preserve">https://annual-report.bms.com/assets/bms-ar/documents/2025/2025-bms-development-portfolio.pdf</x:t>
        </x:is>
      </x:c>
      <x:c r="J62" s="10" t="inlineStr">
        <x:is>
          <x:t xml:space="preserve"/>
        </x:is>
      </x:c>
    </x:row>
    <x:row r="63" ht="45" customHeight="1">
      <x:c r="A63" s="11" t="inlineStr">
        <x:is>
          <x:t xml:space="preserve">Bristol Myers Squibb</x:t>
        </x:is>
      </x:c>
      <x:c r="B63" s="9" t="inlineStr">
        <x:is>
          <x:t xml:space="preserve">Neuroscience</x:t>
        </x:is>
      </x:c>
      <x:c r="C63" s="9" t="inlineStr">
        <x:is>
          <x:t xml:space="preserve">Neuroscience</x:t>
        </x:is>
      </x:c>
      <x:c r="D63" s="9" t="inlineStr">
        <x:is>
          <x:t xml:space="preserve">FAAH/MAGL dual inhibitor</x:t>
        </x:is>
      </x:c>
      <x:c r="E63" s="9" t="inlineStr">
        <x:is>
          <x:t xml:space="preserve">Phase II</x:t>
        </x:is>
      </x:c>
      <x:c r="F63" s="9" t="inlineStr">
        <x:is>
          <x:t xml:space="preserve">Small-molecule dual enzyme inhibitor</x:t>
        </x:is>
      </x:c>
      <x:c r="G63" s="9" t="inlineStr">
        <x:is>
          <x:t xml:space="preserve">Alzheimer's disease agitation and multiple-sclerosis spasticity</x:t>
        </x:is>
      </x:c>
      <x:c r="H63" s="9" t="inlineStr">
        <x:is>
          <x:t xml:space="preserve">2026-02-05</x:t>
        </x:is>
      </x:c>
      <x:c r="I63" s="9" t="inlineStr">
        <x:is>
          <x:t xml:space="preserve">https://annual-report.bms.com/assets/bms-ar/documents/2025/2025-bms-development-portfolio.pdf</x:t>
        </x:is>
      </x:c>
      <x:c r="J63" s="10" t="inlineStr">
        <x:is>
          <x:t xml:space="preserve"/>
        </x:is>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31" customWidth="1"/>
    <x:col min="2" max="2" width="27" customWidth="1"/>
    <x:col min="3" max="3" width="31" customWidth="1"/>
    <x:col min="4" max="4" width="48" customWidth="1"/>
    <x:col min="5" max="5" width="50" customWidth="1"/>
    <x:col min="6" max="6" width="16" customWidth="1"/>
    <x:col min="7" max="7" width="64" customWidth="1"/>
    <x:col min="8" max="8" width="45" customWidth="1"/>
    <x:col min="9" max="9" width="45" customWidth="1"/>
  </x:cols>
  <x:sheetData>
    <x:row r="1" ht="32" customHeight="1">
      <x:c r="A1" s="25" t="inlineStr">
        <x:is>
          <x:t xml:space="preserve">AZ + BMS overlap units - evidence behind bubble counts</x:t>
        </x:is>
      </x:c>
    </x:row>
    <x:row r="2" ht="34" customHeight="1">
      <x:c r="A2" s="26" t="inlineStr">
        <x:is>
          <x:t xml:space="preserve">One row equals one distinct shared territory/class. Bubble counts are formula-driven from this table. Directness is an analyst-coded input: 1 limited, 2 moderate, 3 strong.</x:t>
        </x:is>
      </x:c>
    </x:row>
    <x:row r="4" ht="40" customHeight="1">
      <x:c r="A4" s="27" t="inlineStr">
        <x:is>
          <x:t xml:space="preserve">Disease area</x:t>
        </x:is>
      </x:c>
      <x:c r="B4" s="27" t="inlineStr">
        <x:is>
          <x:t xml:space="preserve">Factor</x:t>
        </x:is>
      </x:c>
      <x:c r="C4" s="27" t="inlineStr">
        <x:is>
          <x:t xml:space="preserve">Overlap unit</x:t>
        </x:is>
      </x:c>
      <x:c r="D4" s="27" t="inlineStr">
        <x:is>
          <x:t xml:space="preserve">AZ evidence / programs</x:t>
        </x:is>
      </x:c>
      <x:c r="E4" s="27" t="inlineStr">
        <x:is>
          <x:t xml:space="preserve">BMS evidence / programs</x:t>
        </x:is>
      </x:c>
      <x:c r="F4" s="27" t="inlineStr">
        <x:is>
          <x:t xml:space="preserve">Directness (1-3)</x:t>
        </x:is>
      </x:c>
      <x:c r="G4" s="27" t="inlineStr">
        <x:is>
          <x:t xml:space="preserve">Rationale</x:t>
        </x:is>
      </x:c>
      <x:c r="H4" s="27" t="inlineStr">
        <x:is>
          <x:t xml:space="preserve">AZ source URL</x:t>
        </x:is>
      </x:c>
      <x:c r="I4" s="27" t="inlineStr">
        <x:is>
          <x:t xml:space="preserve">BMS source URL</x:t>
        </x:is>
      </x:c>
    </x:row>
    <x:row r="5" ht="62" customHeight="1">
      <x:c r="A5" s="28" t="inlineStr">
        <x:is>
          <x:t xml:space="preserve">Solid-tumor oncology</x:t>
        </x:is>
      </x:c>
      <x:c r="B5" s="28" t="inlineStr">
        <x:is>
          <x:t xml:space="preserve">Shared indications</x:t>
        </x:is>
      </x:c>
      <x:c r="C5" s="28" t="inlineStr">
        <x:is>
          <x:t xml:space="preserve">NSCLC</x:t>
        </x:is>
      </x:c>
      <x:c r="D5" s="28" t="inlineStr">
        <x:is>
          <x:t xml:space="preserve">IPH5201; rilvegostomig; volrustomig</x:t>
        </x:is>
      </x:c>
      <x:c r="E5" s="28" t="inlineStr">
        <x:is>
          <x:t xml:space="preserve">pumitamig; iza-bren; navlimetostat; nivolumab + relatlimab HD</x:t>
        </x:is>
      </x:c>
      <x:c r="F5" s="29" t="n">
        <x:v>3</x:v>
      </x:c>
      <x:c r="G5" s="28" t="inlineStr">
        <x:is>
          <x:t xml:space="preserve">Multiple programs from both companies are being developed in NSCLC, creating direct disease-level overlap.</x:t>
        </x:is>
      </x:c>
      <x:c r="H5" s="28" t="inlineStr">
        <x:is>
          <x:t xml:space="preserve">https://www.astrazeneca.com/content/dam/az/Investor_Relations/annual-report-2025/pdf/AstraZeneca_Development_Pipeline_2025.pdf</x:t>
        </x:is>
      </x:c>
      <x:c r="I5" s="28" t="inlineStr">
        <x:is>
          <x:t xml:space="preserve">https://www.bms.com/assets/bms/us/en-us/pdf/investor-info/doc_presentations/2026/bms-pipeline-february-2026.pdf</x:t>
        </x:is>
      </x:c>
    </x:row>
    <x:row r="6" ht="62" customHeight="1">
      <x:c r="A6" s="28" t="inlineStr">
        <x:is>
          <x:t xml:space="preserve">Solid-tumor oncology</x:t>
        </x:is>
      </x:c>
      <x:c r="B6" s="28" t="inlineStr">
        <x:is>
          <x:t xml:space="preserve">Shared indications</x:t>
        </x:is>
      </x:c>
      <x:c r="C6" s="28" t="inlineStr">
        <x:is>
          <x:t xml:space="preserve">Prostate cancer</x:t>
        </x:is>
      </x:c>
      <x:c r="D6" s="28" t="inlineStr">
        <x:is>
          <x:t xml:space="preserve">FPI-2265; saruparib</x:t>
        </x:is>
      </x:c>
      <x:c r="E6" s="28" t="inlineStr">
        <x:is>
          <x:t xml:space="preserve">AR ligand-directed degrader</x:t>
        </x:is>
      </x:c>
      <x:c r="F6" s="29" t="n">
        <x:v>3</x:v>
      </x:c>
      <x:c r="G6" s="28" t="inlineStr">
        <x:is>
          <x:t xml:space="preserve">Both companies have late-stage prostate-cancer programs, although targets and modalities differ.</x:t>
        </x:is>
      </x:c>
      <x:c r="H6" s="28" t="inlineStr">
        <x:is>
          <x:t xml:space="preserve">https://www.astrazeneca.com/content/dam/az/Investor_Relations/annual-report-2025/pdf/AstraZeneca_Development_Pipeline_2025.pdf</x:t>
        </x:is>
      </x:c>
      <x:c r="I6" s="28" t="inlineStr">
        <x:is>
          <x:t xml:space="preserve">https://www.bms.com/assets/bms/us/en-us/pdf/investor-info/doc_presentations/2026/bms-pipeline-february-2026.pdf</x:t>
        </x:is>
      </x:c>
    </x:row>
    <x:row r="7" ht="62" customHeight="1">
      <x:c r="A7" s="28" t="inlineStr">
        <x:is>
          <x:t xml:space="preserve">Solid-tumor oncology</x:t>
        </x:is>
      </x:c>
      <x:c r="B7" s="28" t="inlineStr">
        <x:is>
          <x:t xml:space="preserve">Shared modalities</x:t>
        </x:is>
      </x:c>
      <x:c r="C7" s="28" t="inlineStr">
        <x:is>
          <x:t xml:space="preserve">Small-molecule targeted therapy</x:t>
        </x:is>
      </x:c>
      <x:c r="D7" s="28" t="inlineStr">
        <x:is>
          <x:t xml:space="preserve">AZD9574; camizestrant; saruparib</x:t>
        </x:is>
      </x:c>
      <x:c r="E7" s="28" t="inlineStr">
        <x:is>
          <x:t xml:space="preserve">navlimetostat; AR ligand-directed degrader</x:t>
        </x:is>
      </x:c>
      <x:c r="F7" s="30" t="n">
        <x:v>2</x:v>
      </x:c>
      <x:c r="G7" s="28" t="inlineStr">
        <x:is>
          <x:t xml:space="preserve">Both use oral/small-molecule targeted approaches in solid tumors.</x:t>
        </x:is>
      </x:c>
      <x:c r="H7" s="28" t="inlineStr">
        <x:is>
          <x:t xml:space="preserve">https://www.astrazeneca.com/content/dam/az/Investor_Relations/annual-report-2025/pdf/AstraZeneca_Development_Pipeline_2025.pdf</x:t>
        </x:is>
      </x:c>
      <x:c r="I7" s="28" t="inlineStr">
        <x:is>
          <x:t xml:space="preserve">https://www.bms.com/assets/bms/us/en-us/pdf/investor-info/doc_presentations/2026/bms-pipeline-february-2026.pdf</x:t>
        </x:is>
      </x:c>
    </x:row>
    <x:row r="8" ht="62" customHeight="1">
      <x:c r="A8" s="28" t="inlineStr">
        <x:is>
          <x:t xml:space="preserve">Solid-tumor oncology</x:t>
        </x:is>
      </x:c>
      <x:c r="B8" s="28" t="inlineStr">
        <x:is>
          <x:t xml:space="preserve">Shared modalities</x:t>
        </x:is>
      </x:c>
      <x:c r="C8" s="28" t="inlineStr">
        <x:is>
          <x:t xml:space="preserve">Bispecific / dual-target biologics</x:t>
        </x:is>
      </x:c>
      <x:c r="D8" s="28" t="inlineStr">
        <x:is>
          <x:t xml:space="preserve">rilvegostomig; volrustomig</x:t>
        </x:is>
      </x:c>
      <x:c r="E8" s="28" t="inlineStr">
        <x:is>
          <x:t xml:space="preserve">pumitamig</x:t>
        </x:is>
      </x:c>
      <x:c r="F8" s="29" t="n">
        <x:v>3</x:v>
      </x:c>
      <x:c r="G8" s="28" t="inlineStr">
        <x:is>
          <x:t xml:space="preserve">Both have late-stage dual-target immuno-oncology biologics.</x:t>
        </x:is>
      </x:c>
      <x:c r="H8" s="28" t="inlineStr">
        <x:is>
          <x:t xml:space="preserve">https://www.astrazeneca.com/content/dam/az/Investor_Relations/annual-report-2025/pdf/AstraZeneca_Development_Pipeline_2025.pdf</x:t>
        </x:is>
      </x:c>
      <x:c r="I8" s="28" t="inlineStr">
        <x:is>
          <x:t xml:space="preserve">https://www.bms.com/assets/bms/us/en-us/pdf/investor-info/doc_presentations/2026/bms-pipeline-february-2026.pdf</x:t>
        </x:is>
      </x:c>
    </x:row>
    <x:row r="9" ht="62" customHeight="1">
      <x:c r="A9" s="28" t="inlineStr">
        <x:is>
          <x:t xml:space="preserve">Solid-tumor oncology</x:t>
        </x:is>
      </x:c>
      <x:c r="B9" s="28" t="inlineStr">
        <x:is>
          <x:t xml:space="preserve">Shared modalities</x:t>
        </x:is>
      </x:c>
      <x:c r="C9" s="28" t="inlineStr">
        <x:is>
          <x:t xml:space="preserve">Antibody-drug conjugates</x:t>
        </x:is>
      </x:c>
      <x:c r="D9" s="28" t="inlineStr">
        <x:is>
          <x:t xml:space="preserve">puxitatug samrotecan; sonesitatug vedotin; tilatamig samrotecan; torvutatug samrotecan</x:t>
        </x:is>
      </x:c>
      <x:c r="E9" s="28" t="inlineStr">
        <x:is>
          <x:t xml:space="preserve">izalontamab brengitecan</x:t>
        </x:is>
      </x:c>
      <x:c r="F9" s="29" t="n">
        <x:v>3</x:v>
      </x:c>
      <x:c r="G9" s="28" t="inlineStr">
        <x:is>
          <x:t xml:space="preserve">Both have substantial ADC activity, with AstraZeneca contributing greater breadth.</x:t>
        </x:is>
      </x:c>
      <x:c r="H9" s="28" t="inlineStr">
        <x:is>
          <x:t xml:space="preserve">https://www.astrazeneca.com/content/dam/az/Investor_Relations/annual-report-2025/pdf/AstraZeneca_Development_Pipeline_2025.pdf</x:t>
        </x:is>
      </x:c>
      <x:c r="I9" s="28" t="inlineStr">
        <x:is>
          <x:t xml:space="preserve">https://www.bms.com/assets/bms/us/en-us/pdf/investor-info/doc_presentations/2026/bms-pipeline-february-2026.pdf</x:t>
        </x:is>
      </x:c>
    </x:row>
    <x:row r="10" ht="62" customHeight="1">
      <x:c r="A10" s="28" t="inlineStr">
        <x:is>
          <x:t xml:space="preserve">Solid-tumor oncology</x:t>
        </x:is>
      </x:c>
      <x:c r="B10" s="28" t="inlineStr">
        <x:is>
          <x:t xml:space="preserve">Shared modalities</x:t>
        </x:is>
      </x:c>
      <x:c r="C10" s="28" t="inlineStr">
        <x:is>
          <x:t xml:space="preserve">Radiopharmaceuticals</x:t>
        </x:is>
      </x:c>
      <x:c r="D10" s="28" t="inlineStr">
        <x:is>
          <x:t xml:space="preserve">FPI-2265</x:t>
        </x:is>
      </x:c>
      <x:c r="E10" s="28" t="inlineStr">
        <x:is>
          <x:t xml:space="preserve">RYZ101</x:t>
        </x:is>
      </x:c>
      <x:c r="F10" s="30" t="n">
        <x:v>2</x:v>
      </x:c>
      <x:c r="G10" s="28" t="inlineStr">
        <x:is>
          <x:t xml:space="preserve">Both have targeted radiopharmaceutical programs, but in different tumor types and targets.</x:t>
        </x:is>
      </x:c>
      <x:c r="H10" s="28" t="inlineStr">
        <x:is>
          <x:t xml:space="preserve">https://www.astrazeneca.com/content/dam/az/Investor_Relations/annual-report-2025/pdf/AstraZeneca_Development_Pipeline_2025.pdf</x:t>
        </x:is>
      </x:c>
      <x:c r="I10" s="28" t="inlineStr">
        <x:is>
          <x:t xml:space="preserve">https://www.bms.com/assets/bms/us/en-us/pdf/investor-info/doc_presentations/2026/bms-pipeline-february-2026.pdf</x:t>
        </x:is>
      </x:c>
    </x:row>
    <x:row r="11" ht="62" customHeight="1">
      <x:c r="A11" s="28" t="inlineStr">
        <x:is>
          <x:t xml:space="preserve">Solid-tumor oncology</x:t>
        </x:is>
      </x:c>
      <x:c r="B11" s="28" t="inlineStr">
        <x:is>
          <x:t xml:space="preserve">Shared target / mechanism</x:t>
        </x:is>
      </x:c>
      <x:c r="C11" s="28" t="inlineStr">
        <x:is>
          <x:t xml:space="preserve">PD-(L)1-based immuno-oncology</x:t>
        </x:is>
      </x:c>
      <x:c r="D11" s="28" t="inlineStr">
        <x:is>
          <x:t xml:space="preserve">rilvegostomig; volrustomig</x:t>
        </x:is>
      </x:c>
      <x:c r="E11" s="28" t="inlineStr">
        <x:is>
          <x:t xml:space="preserve">pumitamig; nivolumab + relatlimab HD; atigotatug + nivolumab</x:t>
        </x:is>
      </x:c>
      <x:c r="F11" s="29" t="n">
        <x:v>3</x:v>
      </x:c>
      <x:c r="G11" s="28" t="inlineStr">
        <x:is>
          <x:t xml:space="preserve">Both portfolios use PD-1/PD-L1-centered combinations or multispecific approaches.</x:t>
        </x:is>
      </x:c>
      <x:c r="H11" s="28" t="inlineStr">
        <x:is>
          <x:t xml:space="preserve">https://www.astrazeneca.com/content/dam/az/Investor_Relations/annual-report-2025/pdf/AstraZeneca_Development_Pipeline_2025.pdf</x:t>
        </x:is>
      </x:c>
      <x:c r="I11" s="28" t="inlineStr">
        <x:is>
          <x:t xml:space="preserve">https://www.bms.com/assets/bms/us/en-us/pdf/investor-info/doc_presentations/2026/bms-pipeline-february-2026.pdf</x:t>
        </x:is>
      </x:c>
    </x:row>
    <x:row r="12" ht="62" customHeight="1">
      <x:c r="A12" s="28" t="inlineStr">
        <x:is>
          <x:t xml:space="preserve">Solid-tumor oncology</x:t>
        </x:is>
      </x:c>
      <x:c r="B12" s="28" t="inlineStr">
        <x:is>
          <x:t xml:space="preserve">Shared target / mechanism</x:t>
        </x:is>
      </x:c>
      <x:c r="C12" s="28" t="inlineStr">
        <x:is>
          <x:t xml:space="preserve">EGFR-directed therapeutics</x:t>
        </x:is>
      </x:c>
      <x:c r="D12" s="28" t="inlineStr">
        <x:is>
          <x:t xml:space="preserve">tilatamig samrotecan</x:t>
        </x:is>
      </x:c>
      <x:c r="E12" s="28" t="inlineStr">
        <x:is>
          <x:t xml:space="preserve">izalontamab brengitecan</x:t>
        </x:is>
      </x:c>
      <x:c r="F12" s="30" t="n">
        <x:v>2</x:v>
      </x:c>
      <x:c r="G12" s="28" t="inlineStr">
        <x:is>
          <x:t xml:space="preserve">Both have EGFR-directed ADC programs, paired with different second targets.</x:t>
        </x:is>
      </x:c>
      <x:c r="H12" s="28" t="inlineStr">
        <x:is>
          <x:t xml:space="preserve">https://www.astrazeneca.com/content/dam/az/Investor_Relations/annual-report-2025/pdf/AstraZeneca_Development_Pipeline_2025.pdf</x:t>
        </x:is>
      </x:c>
      <x:c r="I12" s="28" t="inlineStr">
        <x:is>
          <x:t xml:space="preserve">https://www.bms.com/assets/bms/us/en-us/pdf/investor-info/doc_presentations/2026/bms-pipeline-february-2026.pdf</x:t>
        </x:is>
      </x:c>
    </x:row>
    <x:row r="13" ht="62" customHeight="1">
      <x:c r="A13" s="28" t="inlineStr">
        <x:is>
          <x:t xml:space="preserve">Solid-tumor oncology</x:t>
        </x:is>
      </x:c>
      <x:c r="B13" s="28" t="inlineStr">
        <x:is>
          <x:t xml:space="preserve">Stage alignment</x:t>
        </x:is>
      </x:c>
      <x:c r="C13" s="28" t="inlineStr">
        <x:is>
          <x:t xml:space="preserve">Phase II</x:t>
        </x:is>
      </x:c>
      <x:c r="D13" s="28" t="inlineStr">
        <x:is>
          <x:t xml:space="preserve">AZD9574; FPI-2265; IPH5201; tilatamig samrotecan</x:t>
        </x:is>
      </x:c>
      <x:c r="E13" s="28" t="inlineStr">
        <x:is>
          <x:t xml:space="preserve">iza-bren; navlimetostat</x:t>
        </x:is>
      </x:c>
      <x:c r="F13" s="30" t="n">
        <x:v>2</x:v>
      </x:c>
      <x:c r="G13" s="28" t="inlineStr">
        <x:is>
          <x:t xml:space="preserve">Both companies have Phase II programs in the disease area.</x:t>
        </x:is>
      </x:c>
      <x:c r="H13" s="28" t="inlineStr">
        <x:is>
          <x:t xml:space="preserve">https://www.astrazeneca.com/content/dam/az/Investor_Relations/annual-report-2025/pdf/AstraZeneca_Development_Pipeline_2025.pdf</x:t>
        </x:is>
      </x:c>
      <x:c r="I13" s="28" t="inlineStr">
        <x:is>
          <x:t xml:space="preserve">https://www.bms.com/assets/bms/us/en-us/pdf/investor-info/doc_presentations/2026/bms-pipeline-february-2026.pdf</x:t>
        </x:is>
      </x:c>
    </x:row>
    <x:row r="14" ht="62" customHeight="1">
      <x:c r="A14" s="28" t="inlineStr">
        <x:is>
          <x:t xml:space="preserve">Solid-tumor oncology</x:t>
        </x:is>
      </x:c>
      <x:c r="B14" s="28" t="inlineStr">
        <x:is>
          <x:t xml:space="preserve">Stage alignment</x:t>
        </x:is>
      </x:c>
      <x:c r="C14" s="28" t="inlineStr">
        <x:is>
          <x:t xml:space="preserve">Phase III / registration</x:t>
        </x:is>
      </x:c>
      <x:c r="D14" s="28" t="inlineStr">
        <x:is>
          <x:t xml:space="preserve">camizestrant; puxitatug samrotecan; rilvegostomig; saruparib; sonesitatug vedotin; torvutatug samrotecan; volrustomig</x:t>
        </x:is>
      </x:c>
      <x:c r="E14" s="28" t="inlineStr">
        <x:is>
          <x:t xml:space="preserve">pumitamig; AR ligand-directed degrader; atigotatug + nivolumab; nivolumab + relatlimab HD; RYZ101</x:t>
        </x:is>
      </x:c>
      <x:c r="F14" s="29" t="n">
        <x:v>3</x:v>
      </x:c>
      <x:c r="G14" s="28" t="inlineStr">
        <x:is>
          <x:t xml:space="preserve">Both have broad Phase III/registration portfolios in solid tumors.</x:t>
        </x:is>
      </x:c>
      <x:c r="H14" s="28" t="inlineStr">
        <x:is>
          <x:t xml:space="preserve">https://www.astrazeneca.com/content/dam/az/Investor_Relations/annual-report-2025/pdf/AstraZeneca_Development_Pipeline_2025.pdf</x:t>
        </x:is>
      </x:c>
      <x:c r="I14" s="28" t="inlineStr">
        <x:is>
          <x:t xml:space="preserve">https://www.bms.com/assets/bms/us/en-us/pdf/investor-info/doc_presentations/2026/bms-pipeline-february-2026.pdf</x:t>
        </x:is>
      </x:c>
    </x:row>
    <x:row r="15" ht="62" customHeight="1">
      <x:c r="A15" s="28" t="inlineStr">
        <x:is>
          <x:t xml:space="preserve">Hematology</x:t>
        </x:is>
      </x:c>
      <x:c r="B15" s="28" t="inlineStr">
        <x:is>
          <x:t xml:space="preserve">Shared indications</x:t>
        </x:is>
      </x:c>
      <x:c r="C15" s="28" t="inlineStr">
        <x:is>
          <x:t xml:space="preserve">Multiple myeloma</x:t>
        </x:is>
      </x:c>
      <x:c r="D15" s="28" t="inlineStr">
        <x:is>
          <x:t xml:space="preserve">AZD0120; AZD0305</x:t>
        </x:is>
      </x:c>
      <x:c r="E15" s="28" t="inlineStr">
        <x:is>
          <x:t xml:space="preserve">arlo-cel; iberdomide; mezigdomide</x:t>
        </x:is>
      </x:c>
      <x:c r="F15" s="29" t="n">
        <x:v>3</x:v>
      </x:c>
      <x:c r="G15" s="28" t="inlineStr">
        <x:is>
          <x:t xml:space="preserve">Both companies have multiple late-stage programs in multiple myeloma.</x:t>
        </x:is>
      </x:c>
      <x:c r="H15" s="28" t="inlineStr">
        <x:is>
          <x:t xml:space="preserve">https://www.astrazeneca.com/content/dam/az/Investor_Relations/annual-report-2025/pdf/AstraZeneca_Development_Pipeline_2025.pdf</x:t>
        </x:is>
      </x:c>
      <x:c r="I15" s="28" t="inlineStr">
        <x:is>
          <x:t xml:space="preserve">https://www.bms.com/assets/bms/us/en-us/pdf/investor-info/doc_presentations/2026/bms-pipeline-february-2026.pdf</x:t>
        </x:is>
      </x:c>
    </x:row>
    <x:row r="16" ht="62" customHeight="1">
      <x:c r="A16" s="28" t="inlineStr">
        <x:is>
          <x:t xml:space="preserve">Hematology</x:t>
        </x:is>
      </x:c>
      <x:c r="B16" s="28" t="inlineStr">
        <x:is>
          <x:t xml:space="preserve">Shared indications</x:t>
        </x:is>
      </x:c>
      <x:c r="C16" s="28" t="inlineStr">
        <x:is>
          <x:t xml:space="preserve">B-cell lymphoma</x:t>
        </x:is>
      </x:c>
      <x:c r="D16" s="28" t="inlineStr">
        <x:is>
          <x:t xml:space="preserve">surovatamig</x:t>
        </x:is>
      </x:c>
      <x:c r="E16" s="28" t="inlineStr">
        <x:is>
          <x:t xml:space="preserve">golcadomide</x:t>
        </x:is>
      </x:c>
      <x:c r="F16" s="29" t="n">
        <x:v>3</x:v>
      </x:c>
      <x:c r="G16" s="28" t="inlineStr">
        <x:is>
          <x:t xml:space="preserve">Both have Phase III programs in B-cell lymphoma territories.</x:t>
        </x:is>
      </x:c>
      <x:c r="H16" s="28" t="inlineStr">
        <x:is>
          <x:t xml:space="preserve">https://www.astrazeneca.com/content/dam/az/Investor_Relations/annual-report-2025/pdf/AstraZeneca_Development_Pipeline_2025.pdf</x:t>
        </x:is>
      </x:c>
      <x:c r="I16" s="28" t="inlineStr">
        <x:is>
          <x:t xml:space="preserve">https://www.bms.com/assets/bms/us/en-us/pdf/investor-info/doc_presentations/2026/bms-pipeline-february-2026.pdf</x:t>
        </x:is>
      </x:c>
    </x:row>
    <x:row r="17" ht="62" customHeight="1">
      <x:c r="A17" s="28" t="inlineStr">
        <x:is>
          <x:t xml:space="preserve">Hematology</x:t>
        </x:is>
      </x:c>
      <x:c r="B17" s="28" t="inlineStr">
        <x:is>
          <x:t xml:space="preserve">Shared modalities</x:t>
        </x:is>
      </x:c>
      <x:c r="C17" s="28" t="inlineStr">
        <x:is>
          <x:t xml:space="preserve">Cell therapy / CAR-T</x:t>
        </x:is>
      </x:c>
      <x:c r="D17" s="28" t="inlineStr">
        <x:is>
          <x:t xml:space="preserve">AZD0120</x:t>
        </x:is>
      </x:c>
      <x:c r="E17" s="28" t="inlineStr">
        <x:is>
          <x:t xml:space="preserve">arlo-cel</x:t>
        </x:is>
      </x:c>
      <x:c r="F17" s="29" t="n">
        <x:v>3</x:v>
      </x:c>
      <x:c r="G17" s="28" t="inlineStr">
        <x:is>
          <x:t xml:space="preserve">Both have autologous CAR-T programs in multiple myeloma, with different target configurations.</x:t>
        </x:is>
      </x:c>
      <x:c r="H17" s="28" t="inlineStr">
        <x:is>
          <x:t xml:space="preserve">https://www.astrazeneca.com/content/dam/az/Investor_Relations/annual-report-2025/pdf/AstraZeneca_Development_Pipeline_2025.pdf</x:t>
        </x:is>
      </x:c>
      <x:c r="I17" s="28" t="inlineStr">
        <x:is>
          <x:t xml:space="preserve">https://www.bms.com/assets/bms/us/en-us/pdf/investor-info/doc_presentations/2026/bms-pipeline-february-2026.pdf</x:t>
        </x:is>
      </x:c>
    </x:row>
    <x:row r="18" ht="62" customHeight="1">
      <x:c r="A18" s="28" t="inlineStr">
        <x:is>
          <x:t xml:space="preserve">Hematology</x:t>
        </x:is>
      </x:c>
      <x:c r="B18" s="28" t="inlineStr">
        <x:is>
          <x:t xml:space="preserve">Shared modalities</x:t>
        </x:is>
      </x:c>
      <x:c r="C18" s="28" t="inlineStr">
        <x:is>
          <x:t xml:space="preserve">Small-molecule targeted therapy</x:t>
        </x:is>
      </x:c>
      <x:c r="D18" s="28" t="inlineStr">
        <x:is>
          <x:t xml:space="preserve">AZD3470</x:t>
        </x:is>
      </x:c>
      <x:c r="E18" s="28" t="inlineStr">
        <x:is>
          <x:t xml:space="preserve">golcadomide; iberdomide; mezigdomide</x:t>
        </x:is>
      </x:c>
      <x:c r="F18" s="30" t="n">
        <x:v>2</x:v>
      </x:c>
      <x:c r="G18" s="28" t="inlineStr">
        <x:is>
          <x:t xml:space="preserve">Both use small-molecule targeted approaches, but mechanisms and disease emphasis differ.</x:t>
        </x:is>
      </x:c>
      <x:c r="H18" s="28" t="inlineStr">
        <x:is>
          <x:t xml:space="preserve">https://www.astrazeneca.com/content/dam/az/Investor_Relations/annual-report-2025/pdf/AstraZeneca_Development_Pipeline_2025.pdf</x:t>
        </x:is>
      </x:c>
      <x:c r="I18" s="28" t="inlineStr">
        <x:is>
          <x:t xml:space="preserve">https://www.bms.com/assets/bms/us/en-us/pdf/investor-info/doc_presentations/2026/bms-pipeline-february-2026.pdf</x:t>
        </x:is>
      </x:c>
    </x:row>
    <x:row r="19" ht="62" customHeight="1">
      <x:c r="A19" s="28" t="inlineStr">
        <x:is>
          <x:t xml:space="preserve">Hematology</x:t>
        </x:is>
      </x:c>
      <x:c r="B19" s="28" t="inlineStr">
        <x:is>
          <x:t xml:space="preserve">Shared target / mechanism</x:t>
        </x:is>
      </x:c>
      <x:c r="C19" s="28" t="inlineStr">
        <x:is>
          <x:t xml:space="preserve">GPRC5D</x:t>
        </x:is>
      </x:c>
      <x:c r="D19" s="28" t="inlineStr">
        <x:is>
          <x:t xml:space="preserve">AZD0305</x:t>
        </x:is>
      </x:c>
      <x:c r="E19" s="28" t="inlineStr">
        <x:is>
          <x:t xml:space="preserve">arlo-cel</x:t>
        </x:is>
      </x:c>
      <x:c r="F19" s="29" t="n">
        <x:v>3</x:v>
      </x:c>
      <x:c r="G19" s="28" t="inlineStr">
        <x:is>
          <x:t xml:space="preserve">This is the clearest exact target overlap: an ADC versus CAR-T directed to GPRC5D.</x:t>
        </x:is>
      </x:c>
      <x:c r="H19" s="28" t="inlineStr">
        <x:is>
          <x:t xml:space="preserve">https://www.astrazeneca.com/content/dam/az/Investor_Relations/annual-report-2025/pdf/AstraZeneca_Development_Pipeline_2025.pdf</x:t>
        </x:is>
      </x:c>
      <x:c r="I19" s="28" t="inlineStr">
        <x:is>
          <x:t xml:space="preserve">https://www.bms.com/assets/bms/us/en-us/pdf/investor-info/doc_presentations/2026/bms-pipeline-february-2026.pdf</x:t>
        </x:is>
      </x:c>
    </x:row>
    <x:row r="20" ht="62" customHeight="1">
      <x:c r="A20" s="28" t="inlineStr">
        <x:is>
          <x:t xml:space="preserve">Hematology</x:t>
        </x:is>
      </x:c>
      <x:c r="B20" s="28" t="inlineStr">
        <x:is>
          <x:t xml:space="preserve">Stage alignment</x:t>
        </x:is>
      </x:c>
      <x:c r="C20" s="28" t="inlineStr">
        <x:is>
          <x:t xml:space="preserve">Phase III / registration</x:t>
        </x:is>
      </x:c>
      <x:c r="D20" s="28" t="inlineStr">
        <x:is>
          <x:t xml:space="preserve">surovatamig</x:t>
        </x:is>
      </x:c>
      <x:c r="E20" s="28" t="inlineStr">
        <x:is>
          <x:t xml:space="preserve">arlo-cel; golcadomide; iberdomide; mezigdomide</x:t>
        </x:is>
      </x:c>
      <x:c r="F20" s="30" t="n">
        <x:v>2</x:v>
      </x:c>
      <x:c r="G20" s="28" t="inlineStr">
        <x:is>
          <x:t xml:space="preserve">Both have Phase III/registration programs, though BMS is more concentrated at this stage.</x:t>
        </x:is>
      </x:c>
      <x:c r="H20" s="28" t="inlineStr">
        <x:is>
          <x:t xml:space="preserve">https://www.astrazeneca.com/content/dam/az/Investor_Relations/annual-report-2025/pdf/AstraZeneca_Development_Pipeline_2025.pdf</x:t>
        </x:is>
      </x:c>
      <x:c r="I20" s="28" t="inlineStr">
        <x:is>
          <x:t xml:space="preserve">https://www.bms.com/assets/bms/us/en-us/pdf/investor-info/doc_presentations/2026/bms-pipeline-february-2026.pdf</x:t>
        </x:is>
      </x:c>
    </x:row>
    <x:row r="21" ht="62" customHeight="1">
      <x:c r="A21" s="28" t="inlineStr">
        <x:is>
          <x:t xml:space="preserve">Immunology, respiratory &amp; fibrosis</x:t>
        </x:is>
      </x:c>
      <x:c r="B21" s="28" t="inlineStr">
        <x:is>
          <x:t xml:space="preserve">Shared modalities</x:t>
        </x:is>
      </x:c>
      <x:c r="C21" s="28" t="inlineStr">
        <x:is>
          <x:t xml:space="preserve">Small-molecule therapy</x:t>
        </x:is>
      </x:c>
      <x:c r="D21" s="28" t="inlineStr">
        <x:is>
          <x:t xml:space="preserve">atuliflapon; AZD4604; AZD6793</x:t>
        </x:is>
      </x:c>
      <x:c r="E21" s="28" t="inlineStr">
        <x:is>
          <x:t xml:space="preserve">admilparant</x:t>
        </x:is>
      </x:c>
      <x:c r="F21" s="31" t="n">
        <x:v>1</x:v>
      </x:c>
      <x:c r="G21" s="28" t="inlineStr">
        <x:is>
          <x:t xml:space="preserve">Both use small molecules, but the diseases and mechanisms are largely different.</x:t>
        </x:is>
      </x:c>
      <x:c r="H21" s="28" t="inlineStr">
        <x:is>
          <x:t xml:space="preserve">https://www.astrazeneca.com/content/dam/az/Investor_Relations/annual-report-2025/pdf/AstraZeneca_Development_Pipeline_2025.pdf</x:t>
        </x:is>
      </x:c>
      <x:c r="I21" s="28" t="inlineStr">
        <x:is>
          <x:t xml:space="preserve">https://www.bms.com/assets/bms/us/en-us/pdf/investor-info/doc_presentations/2026/bms-pipeline-february-2026.pdf</x:t>
        </x:is>
      </x:c>
    </x:row>
    <x:row r="22" ht="62" customHeight="1">
      <x:c r="A22" s="28" t="inlineStr">
        <x:is>
          <x:t xml:space="preserve">Immunology, respiratory &amp; fibrosis</x:t>
        </x:is>
      </x:c>
      <x:c r="B22" s="28" t="inlineStr">
        <x:is>
          <x:t xml:space="preserve">Shared modalities</x:t>
        </x:is>
      </x:c>
      <x:c r="C22" s="28" t="inlineStr">
        <x:is>
          <x:t xml:space="preserve">Monoclonal antibodies / biologics</x:t>
        </x:is>
      </x:c>
      <x:c r="D22" s="28" t="inlineStr">
        <x:is>
          <x:t xml:space="preserve">AZD1163; AZD7798; AZD8630; tozorakimab</x:t>
        </x:is>
      </x:c>
      <x:c r="E22" s="28" t="inlineStr">
        <x:is>
          <x:t xml:space="preserve">obexelimab</x:t>
        </x:is>
      </x:c>
      <x:c r="F22" s="31" t="n">
        <x:v>1</x:v>
      </x:c>
      <x:c r="G22" s="28" t="inlineStr">
        <x:is>
          <x:t xml:space="preserve">Both have biologics, but with different disease and target focus.</x:t>
        </x:is>
      </x:c>
      <x:c r="H22" s="28" t="inlineStr">
        <x:is>
          <x:t xml:space="preserve">https://www.astrazeneca.com/content/dam/az/Investor_Relations/annual-report-2025/pdf/AstraZeneca_Development_Pipeline_2025.pdf</x:t>
        </x:is>
      </x:c>
      <x:c r="I22" s="28" t="inlineStr">
        <x:is>
          <x:t xml:space="preserve">https://www.bms.com/assets/bms/us/en-us/pdf/investor-info/doc_presentations/2026/bms-pipeline-february-2026.pdf</x:t>
        </x:is>
      </x:c>
    </x:row>
    <x:row r="23" ht="62" customHeight="1">
      <x:c r="A23" s="28" t="inlineStr">
        <x:is>
          <x:t xml:space="preserve">Immunology, respiratory &amp; fibrosis</x:t>
        </x:is>
      </x:c>
      <x:c r="B23" s="28" t="inlineStr">
        <x:is>
          <x:t xml:space="preserve">Stage alignment</x:t>
        </x:is>
      </x:c>
      <x:c r="C23" s="28" t="inlineStr">
        <x:is>
          <x:t xml:space="preserve">Phase III / registration</x:t>
        </x:is>
      </x:c>
      <x:c r="D23" s="28" t="inlineStr">
        <x:is>
          <x:t xml:space="preserve">tozorakimab</x:t>
        </x:is>
      </x:c>
      <x:c r="E23" s="28" t="inlineStr">
        <x:is>
          <x:t xml:space="preserve">zola-cel; admilparant; obexelimab</x:t>
        </x:is>
      </x:c>
      <x:c r="F23" s="31" t="n">
        <x:v>1</x:v>
      </x:c>
      <x:c r="G23" s="28" t="inlineStr">
        <x:is>
          <x:t xml:space="preserve">Both have Phase III programs, without a clear same-indication collision.</x:t>
        </x:is>
      </x:c>
      <x:c r="H23" s="28" t="inlineStr">
        <x:is>
          <x:t xml:space="preserve">https://www.astrazeneca.com/content/dam/az/Investor_Relations/annual-report-2025/pdf/AstraZeneca_Development_Pipeline_2025.pdf</x:t>
        </x:is>
      </x:c>
      <x:c r="I23" s="28" t="inlineStr">
        <x:is>
          <x:t xml:space="preserve">https://www.bms.com/assets/bms/us/en-us/pdf/investor-info/doc_presentations/2026/bms-pipeline-february-2026.pdf</x:t>
        </x:is>
      </x:c>
    </x:row>
    <x:row r="24" ht="62" customHeight="1">
      <x:c r="A24" s="28" t="inlineStr">
        <x:is>
          <x:t xml:space="preserve">Cardiovascular</x:t>
        </x:is>
      </x:c>
      <x:c r="B24" s="28" t="inlineStr">
        <x:is>
          <x:t xml:space="preserve">Shared indications</x:t>
        </x:is>
      </x:c>
      <x:c r="C24" s="28" t="inlineStr">
        <x:is>
          <x:t xml:space="preserve">Heart failure</x:t>
        </x:is>
      </x:c>
      <x:c r="D24" s="28" t="inlineStr">
        <x:is>
          <x:t xml:space="preserve">AZD5462</x:t>
        </x:is>
      </x:c>
      <x:c r="E24" s="28" t="inlineStr">
        <x:is>
          <x:t xml:space="preserve">MYK-224</x:t>
        </x:is>
      </x:c>
      <x:c r="F24" s="30" t="n">
        <x:v>2</x:v>
      </x:c>
      <x:c r="G24" s="28" t="inlineStr">
        <x:is>
          <x:t xml:space="preserve">Both have Phase II heart-failure programs, with different mechanisms.</x:t>
        </x:is>
      </x:c>
      <x:c r="H24" s="28" t="inlineStr">
        <x:is>
          <x:t xml:space="preserve">https://www.astrazeneca.com/content/dam/az/Investor_Relations/annual-report-2025/pdf/AstraZeneca_Development_Pipeline_2025.pdf</x:t>
        </x:is>
      </x:c>
      <x:c r="I24" s="28" t="inlineStr">
        <x:is>
          <x:t xml:space="preserve">https://www.bms.com/assets/bms/us/en-us/pdf/investor-info/doc_presentations/2026/bms-pipeline-february-2026.pdf</x:t>
        </x:is>
      </x:c>
    </x:row>
    <x:row r="25" ht="62" customHeight="1">
      <x:c r="A25" s="28" t="inlineStr">
        <x:is>
          <x:t xml:space="preserve">Cardiovascular</x:t>
        </x:is>
      </x:c>
      <x:c r="B25" s="28" t="inlineStr">
        <x:is>
          <x:t xml:space="preserve">Shared modalities</x:t>
        </x:is>
      </x:c>
      <x:c r="C25" s="28" t="inlineStr">
        <x:is>
          <x:t xml:space="preserve">Small-molecule therapy</x:t>
        </x:is>
      </x:c>
      <x:c r="D25" s="28" t="inlineStr">
        <x:is>
          <x:t xml:space="preserve">AZD5462; baxdrostat; laroprovstat</x:t>
        </x:is>
      </x:c>
      <x:c r="E25" s="28" t="inlineStr">
        <x:is>
          <x:t xml:space="preserve">MYK-224; milvexian</x:t>
        </x:is>
      </x:c>
      <x:c r="F25" s="31" t="n">
        <x:v>1</x:v>
      </x:c>
      <x:c r="G25" s="28" t="inlineStr">
        <x:is>
          <x:t xml:space="preserve">Both portfolios are primarily small-molecule programs, but disease and target overlap is limited.</x:t>
        </x:is>
      </x:c>
      <x:c r="H25" s="28" t="inlineStr">
        <x:is>
          <x:t xml:space="preserve">https://www.astrazeneca.com/content/dam/az/Investor_Relations/annual-report-2025/pdf/AstraZeneca_Development_Pipeline_2025.pdf</x:t>
        </x:is>
      </x:c>
      <x:c r="I25" s="28" t="inlineStr">
        <x:is>
          <x:t xml:space="preserve">https://www.bms.com/assets/bms/us/en-us/pdf/investor-info/doc_presentations/2026/bms-pipeline-february-2026.pdf</x:t>
        </x:is>
      </x:c>
    </x:row>
    <x:row r="26" ht="62" customHeight="1">
      <x:c r="A26" s="28" t="inlineStr">
        <x:is>
          <x:t xml:space="preserve">Cardiovascular</x:t>
        </x:is>
      </x:c>
      <x:c r="B26" s="28" t="inlineStr">
        <x:is>
          <x:t xml:space="preserve">Stage alignment</x:t>
        </x:is>
      </x:c>
      <x:c r="C26" s="28" t="inlineStr">
        <x:is>
          <x:t xml:space="preserve">Phase II</x:t>
        </x:is>
      </x:c>
      <x:c r="D26" s="28" t="inlineStr">
        <x:is>
          <x:t xml:space="preserve">AZD5462</x:t>
        </x:is>
      </x:c>
      <x:c r="E26" s="28" t="inlineStr">
        <x:is>
          <x:t xml:space="preserve">MYK-224</x:t>
        </x:is>
      </x:c>
      <x:c r="F26" s="30" t="n">
        <x:v>2</x:v>
      </x:c>
      <x:c r="G26" s="28" t="inlineStr">
        <x:is>
          <x:t xml:space="preserve">The heart-failure programs are both in Phase II.</x:t>
        </x:is>
      </x:c>
      <x:c r="H26" s="28" t="inlineStr">
        <x:is>
          <x:t xml:space="preserve">https://www.astrazeneca.com/content/dam/az/Investor_Relations/annual-report-2025/pdf/AstraZeneca_Development_Pipeline_2025.pdf</x:t>
        </x:is>
      </x:c>
      <x:c r="I26" s="28" t="inlineStr">
        <x:is>
          <x:t xml:space="preserve">https://www.bms.com/assets/bms/us/en-us/pdf/investor-info/doc_presentations/2026/bms-pipeline-february-2026.pdf</x:t>
        </x:is>
      </x:c>
    </x:row>
    <x:row r="27" ht="62" customHeight="1">
      <x:c r="A27" s="28" t="inlineStr">
        <x:is>
          <x:t xml:space="preserve">Cardiovascular</x:t>
        </x:is>
      </x:c>
      <x:c r="B27" s="28" t="inlineStr">
        <x:is>
          <x:t xml:space="preserve">Stage alignment</x:t>
        </x:is>
      </x:c>
      <x:c r="C27" s="28" t="inlineStr">
        <x:is>
          <x:t xml:space="preserve">Phase III / registration</x:t>
        </x:is>
      </x:c>
      <x:c r="D27" s="28" t="inlineStr">
        <x:is>
          <x:t xml:space="preserve">baxdrostat; laroprovstat</x:t>
        </x:is>
      </x:c>
      <x:c r="E27" s="28" t="inlineStr">
        <x:is>
          <x:t xml:space="preserve">milvexian</x:t>
        </x:is>
      </x:c>
      <x:c r="F27" s="31" t="n">
        <x:v>1</x:v>
      </x:c>
      <x:c r="G27" s="28" t="inlineStr">
        <x:is>
          <x:t xml:space="preserve">Both have Phase III programs, but in different cardiovascular indications.</x:t>
        </x:is>
      </x:c>
      <x:c r="H27" s="28" t="inlineStr">
        <x:is>
          <x:t xml:space="preserve">https://www.astrazeneca.com/content/dam/az/Investor_Relations/annual-report-2025/pdf/AstraZeneca_Development_Pipeline_2025.pdf</x:t>
        </x:is>
      </x:c>
      <x:c r="I27" s="28" t="inlineStr">
        <x:is>
          <x:t xml:space="preserve">https://www.bms.com/assets/bms/us/en-us/pdf/investor-info/doc_presentations/2026/bms-pipeline-february-2026.pdf</x:t>
        </x:is>
      </x:c>
    </x:row>
  </x:sheetData>
  <x:mergeCells>
    <x:mergeCell ref="A1:I1"/>
    <x:mergeCell ref="A2:I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2" customWidth="1"/>
    <x:col min="2" max="2" width="25" customWidth="1"/>
    <x:col min="3" max="3" width="11" customWidth="1"/>
    <x:col min="4" max="4" width="12" customWidth="1"/>
    <x:col min="5" max="5" width="13" customWidth="1"/>
    <x:col min="6" max="6" width="16" customWidth="1"/>
    <x:col min="7" max="7" width="16" customWidth="1"/>
    <x:col min="8" max="8" width="16" customWidth="1"/>
    <x:col min="9" max="9" width="16" customWidth="1"/>
    <x:col min="10" max="10" width="24" customWidth="1"/>
    <x:col min="11" max="11" width="16" customWidth="1"/>
    <x:col min="12" max="12" width="15" customWidth="1"/>
    <x:col min="13" max="13" width="15" customWidth="1"/>
    <x:col min="14" max="14" width="20" customWidth="1"/>
  </x:cols>
  <x:sheetData>
    <x:row r="1" ht="34" customHeight="1">
      <x:c r="A1" s="32" t="inlineStr">
        <x:is>
          <x:t xml:space="preserve">AstraZeneca + BMS: count-based portfolio collision matrix</x:t>
        </x:is>
      </x:c>
    </x:row>
    <x:row r="2" ht="34" customHeight="1">
      <x:c r="A2" s="26" t="inlineStr">
        <x:is>
          <x:t xml:space="preserve">Counts represent distinct shared territories/classes and are calculated from Overlap_Units. Intensity is the maximum directness score among the units in each cell. Portfolio balance has been removed.</x:t>
        </x:is>
      </x:c>
    </x:row>
    <x:row r="4" ht="45" customHeight="1">
      <x:c r="A4" s="27" t="inlineStr">
        <x:is>
          <x:t xml:space="preserve">Disease area</x:t>
        </x:is>
      </x:c>
      <x:c r="B4" s="27" t="inlineStr">
        <x:is>
          <x:t xml:space="preserve">Plot label</x:t>
        </x:is>
      </x:c>
      <x:c r="C4" s="27" t="inlineStr">
        <x:is>
          <x:t xml:space="preserve">AZ programs</x:t>
        </x:is>
      </x:c>
      <x:c r="D4" s="27" t="inlineStr">
        <x:is>
          <x:t xml:space="preserve">BMS programs</x:t>
        </x:is>
      </x:c>
      <x:c r="E4" s="27" t="inlineStr">
        <x:is>
          <x:t xml:space="preserve">Combined programs</x:t>
        </x:is>
      </x:c>
      <x:c r="F4" s="27" t="inlineStr">
        <x:is>
          <x:t xml:space="preserve">Shared indications</x:t>
        </x:is>
      </x:c>
      <x:c r="G4" s="27" t="inlineStr">
        <x:is>
          <x:t xml:space="preserve">Indication intensity</x:t>
        </x:is>
      </x:c>
      <x:c r="H4" s="27" t="inlineStr">
        <x:is>
          <x:t xml:space="preserve">Shared modalities</x:t>
        </x:is>
      </x:c>
      <x:c r="I4" s="27" t="inlineStr">
        <x:is>
          <x:t xml:space="preserve">Modality intensity</x:t>
        </x:is>
      </x:c>
      <x:c r="J4" s="27" t="inlineStr">
        <x:is>
          <x:t xml:space="preserve">Shared target / mechanism</x:t>
        </x:is>
      </x:c>
      <x:c r="K4" s="27" t="inlineStr">
        <x:is>
          <x:t xml:space="preserve">Target intensity</x:t>
        </x:is>
      </x:c>
      <x:c r="L4" s="27" t="inlineStr">
        <x:is>
          <x:t xml:space="preserve">Stage alignment</x:t>
        </x:is>
      </x:c>
      <x:c r="M4" s="27" t="inlineStr">
        <x:is>
          <x:t xml:space="preserve">Stage intensity</x:t>
        </x:is>
      </x:c>
      <x:c r="N4" s="27" t="inlineStr">
        <x:is>
          <x:t xml:space="preserve">Strategic read</x:t>
        </x:is>
      </x:c>
    </x:row>
    <x:row r="5" ht="48" customHeight="1">
      <x:c r="A5" s="33" t="inlineStr">
        <x:is>
          <x:t xml:space="preserve">Solid-tumor oncology</x:t>
        </x:is>
      </x:c>
      <x:c r="B5" s="33" t="inlineStr">
        <x:is>
          <x:t xml:space="preserve">Solid tumors</x:t>
        </x:is>
      </x:c>
      <x:c r="C5" s="34" t="n">
        <x:f>COUNTIFS(Asset_Data!$A:$A,"AstraZeneca",Asset_Data!$C:$C,$A5)</x:f>
        <x:v>11</x:v>
      </x:c>
      <x:c r="D5" s="34" t="n">
        <x:f>COUNTIFS(Asset_Data!$A:$A,"Bristol Myers Squibb",Asset_Data!$C:$C,$A5)</x:f>
        <x:v>7</x:v>
      </x:c>
      <x:c r="E5" s="34" t="n">
        <x:f>SUM(C5:D5)</x:f>
        <x:v>18</x:v>
      </x:c>
      <x:c r="F5" s="35" t="e">
        <x:f>COUNTIFS(Overlap_Units!$A:$A,$A5,Overlap_Units!$B:$B,F4)</x:f>
      </x:c>
      <x:c r="G5" s="34" t="e">
        <x:f>IF(F5=0,0,MAXIFS(Overlap_Units!$F:$F,Overlap_Units!$A:$A,$A5,Overlap_Units!$B:$B,F4))</x:f>
      </x:c>
      <x:c r="H5" s="35" t="e">
        <x:f>COUNTIFS(Overlap_Units!$A:$A,$A5,Overlap_Units!$B:$B,H4)</x:f>
      </x:c>
      <x:c r="I5" s="34" t="e">
        <x:f>IF(H5=0,0,MAXIFS(Overlap_Units!$F:$F,Overlap_Units!$A:$A,$A5,Overlap_Units!$B:$B,H4))</x:f>
      </x:c>
      <x:c r="J5" s="35" t="e">
        <x:f>COUNTIFS(Overlap_Units!$A:$A,$A5,Overlap_Units!$B:$B,J4)</x:f>
      </x:c>
      <x:c r="K5" s="34" t="e">
        <x:f>IF(J5=0,0,MAXIFS(Overlap_Units!$F:$F,Overlap_Units!$A:$A,$A5,Overlap_Units!$B:$B,J4))</x:f>
      </x:c>
      <x:c r="L5" s="35" t="e">
        <x:f>COUNTIFS(Overlap_Units!$A:$A,$A5,Overlap_Units!$B:$B,L4)</x:f>
      </x:c>
      <x:c r="M5" s="34" t="e">
        <x:f>IF(L5=0,0,MAXIFS(Overlap_Units!$F:$F,Overlap_Units!$A:$A,$A5,Overlap_Units!$B:$B,L4))</x:f>
      </x:c>
      <x:c r="N5" s="33" t="inlineStr">
        <x:is>
          <x:t xml:space="preserve">Strong collision</x:t>
        </x:is>
      </x:c>
    </x:row>
    <x:row r="6" ht="48" customHeight="1">
      <x:c r="A6" s="33" t="inlineStr">
        <x:is>
          <x:t xml:space="preserve">Hematology</x:t>
        </x:is>
      </x:c>
      <x:c r="B6" s="33" t="inlineStr">
        <x:is>
          <x:t xml:space="preserve">Hematology</x:t>
        </x:is>
      </x:c>
      <x:c r="C6" s="34" t="n">
        <x:f>COUNTIFS(Asset_Data!$A:$A,"AstraZeneca",Asset_Data!$C:$C,$A6)</x:f>
        <x:v>4</x:v>
      </x:c>
      <x:c r="D6" s="34" t="n">
        <x:f>COUNTIFS(Asset_Data!$A:$A,"Bristol Myers Squibb",Asset_Data!$C:$C,$A6)</x:f>
        <x:v>4</x:v>
      </x:c>
      <x:c r="E6" s="34" t="n">
        <x:f>SUM(C6:D6)</x:f>
        <x:v>8</x:v>
      </x:c>
      <x:c r="F6" s="35" t="e">
        <x:f>COUNTIFS(Overlap_Units!$A:$A,$A6,Overlap_Units!$B:$B,F4)</x:f>
      </x:c>
      <x:c r="G6" s="34" t="e">
        <x:f>IF(F6=0,0,MAXIFS(Overlap_Units!$F:$F,Overlap_Units!$A:$A,$A6,Overlap_Units!$B:$B,F4))</x:f>
      </x:c>
      <x:c r="H6" s="35" t="e">
        <x:f>COUNTIFS(Overlap_Units!$A:$A,$A6,Overlap_Units!$B:$B,H4)</x:f>
      </x:c>
      <x:c r="I6" s="34" t="e">
        <x:f>IF(H6=0,0,MAXIFS(Overlap_Units!$F:$F,Overlap_Units!$A:$A,$A6,Overlap_Units!$B:$B,H4))</x:f>
      </x:c>
      <x:c r="J6" s="35" t="e">
        <x:f>COUNTIFS(Overlap_Units!$A:$A,$A6,Overlap_Units!$B:$B,J4)</x:f>
      </x:c>
      <x:c r="K6" s="34" t="e">
        <x:f>IF(J6=0,0,MAXIFS(Overlap_Units!$F:$F,Overlap_Units!$A:$A,$A6,Overlap_Units!$B:$B,J4))</x:f>
      </x:c>
      <x:c r="L6" s="35" t="e">
        <x:f>COUNTIFS(Overlap_Units!$A:$A,$A6,Overlap_Units!$B:$B,L4)</x:f>
      </x:c>
      <x:c r="M6" s="34" t="e">
        <x:f>IF(L6=0,0,MAXIFS(Overlap_Units!$F:$F,Overlap_Units!$A:$A,$A6,Overlap_Units!$B:$B,L4))</x:f>
      </x:c>
      <x:c r="N6" s="33" t="inlineStr">
        <x:is>
          <x:t xml:space="preserve">Strong collision</x:t>
        </x:is>
      </x:c>
    </x:row>
    <x:row r="7" ht="48" customHeight="1">
      <x:c r="A7" s="33" t="inlineStr">
        <x:is>
          <x:t xml:space="preserve">Immunology, respiratory &amp; fibrosis</x:t>
        </x:is>
      </x:c>
      <x:c r="B7" s="33" t="inlineStr">
        <x:is>
          <x:t xml:space="preserve">Immunology / resp. / fibrosis</x:t>
        </x:is>
      </x:c>
      <x:c r="C7" s="34" t="n">
        <x:f>COUNTIFS(Asset_Data!$A:$A,"AstraZeneca",Asset_Data!$C:$C,$A7)</x:f>
        <x:v>7</x:v>
      </x:c>
      <x:c r="D7" s="34" t="n">
        <x:f>COUNTIFS(Asset_Data!$A:$A,"Bristol Myers Squibb",Asset_Data!$C:$C,$A7)</x:f>
        <x:v>3</x:v>
      </x:c>
      <x:c r="E7" s="34" t="n">
        <x:f>SUM(C7:D7)</x:f>
        <x:v>10</x:v>
      </x:c>
      <x:c r="F7" s="35" t="e">
        <x:f>COUNTIFS(Overlap_Units!$A:$A,$A7,Overlap_Units!$B:$B,F4)</x:f>
      </x:c>
      <x:c r="G7" s="34" t="e">
        <x:f>IF(F7=0,0,MAXIFS(Overlap_Units!$F:$F,Overlap_Units!$A:$A,$A7,Overlap_Units!$B:$B,F4))</x:f>
      </x:c>
      <x:c r="H7" s="35" t="e">
        <x:f>COUNTIFS(Overlap_Units!$A:$A,$A7,Overlap_Units!$B:$B,H4)</x:f>
      </x:c>
      <x:c r="I7" s="34" t="e">
        <x:f>IF(H7=0,0,MAXIFS(Overlap_Units!$F:$F,Overlap_Units!$A:$A,$A7,Overlap_Units!$B:$B,H4))</x:f>
      </x:c>
      <x:c r="J7" s="35" t="e">
        <x:f>COUNTIFS(Overlap_Units!$A:$A,$A7,Overlap_Units!$B:$B,J4)</x:f>
      </x:c>
      <x:c r="K7" s="34" t="e">
        <x:f>IF(J7=0,0,MAXIFS(Overlap_Units!$F:$F,Overlap_Units!$A:$A,$A7,Overlap_Units!$B:$B,J4))</x:f>
      </x:c>
      <x:c r="L7" s="35" t="e">
        <x:f>COUNTIFS(Overlap_Units!$A:$A,$A7,Overlap_Units!$B:$B,L4)</x:f>
      </x:c>
      <x:c r="M7" s="34" t="e">
        <x:f>IF(L7=0,0,MAXIFS(Overlap_Units!$F:$F,Overlap_Units!$A:$A,$A7,Overlap_Units!$B:$B,L4))</x:f>
      </x:c>
      <x:c r="N7" s="33" t="inlineStr">
        <x:is>
          <x:t xml:space="preserve">Platform adjacency</x:t>
        </x:is>
      </x:c>
    </x:row>
    <x:row r="8" ht="48" customHeight="1">
      <x:c r="A8" s="33" t="inlineStr">
        <x:is>
          <x:t xml:space="preserve">Cardiovascular</x:t>
        </x:is>
      </x:c>
      <x:c r="B8" s="33" t="inlineStr">
        <x:is>
          <x:t xml:space="preserve">CV</x:t>
        </x:is>
      </x:c>
      <x:c r="C8" s="34" t="n">
        <x:f>COUNTIFS(Asset_Data!$A:$A,"AstraZeneca",Asset_Data!$C:$C,$A8)</x:f>
        <x:v>3</x:v>
      </x:c>
      <x:c r="D8" s="34" t="n">
        <x:f>COUNTIFS(Asset_Data!$A:$A,"Bristol Myers Squibb",Asset_Data!$C:$C,$A8)</x:f>
        <x:v>2</x:v>
      </x:c>
      <x:c r="E8" s="34" t="n">
        <x:f>SUM(C8:D8)</x:f>
        <x:v>5</x:v>
      </x:c>
      <x:c r="F8" s="35" t="e">
        <x:f>COUNTIFS(Overlap_Units!$A:$A,$A8,Overlap_Units!$B:$B,F4)</x:f>
      </x:c>
      <x:c r="G8" s="34" t="e">
        <x:f>IF(F8=0,0,MAXIFS(Overlap_Units!$F:$F,Overlap_Units!$A:$A,$A8,Overlap_Units!$B:$B,F4))</x:f>
      </x:c>
      <x:c r="H8" s="35" t="e">
        <x:f>COUNTIFS(Overlap_Units!$A:$A,$A8,Overlap_Units!$B:$B,H4)</x:f>
      </x:c>
      <x:c r="I8" s="34" t="e">
        <x:f>IF(H8=0,0,MAXIFS(Overlap_Units!$F:$F,Overlap_Units!$A:$A,$A8,Overlap_Units!$B:$B,H4))</x:f>
      </x:c>
      <x:c r="J8" s="35" t="e">
        <x:f>COUNTIFS(Overlap_Units!$A:$A,$A8,Overlap_Units!$B:$B,J4)</x:f>
      </x:c>
      <x:c r="K8" s="34" t="e">
        <x:f>IF(J8=0,0,MAXIFS(Overlap_Units!$F:$F,Overlap_Units!$A:$A,$A8,Overlap_Units!$B:$B,J4))</x:f>
      </x:c>
      <x:c r="L8" s="35" t="e">
        <x:f>COUNTIFS(Overlap_Units!$A:$A,$A8,Overlap_Units!$B:$B,L4)</x:f>
      </x:c>
      <x:c r="M8" s="34" t="e">
        <x:f>IF(L8=0,0,MAXIFS(Overlap_Units!$F:$F,Overlap_Units!$A:$A,$A8,Overlap_Units!$B:$B,L4))</x:f>
      </x:c>
      <x:c r="N8" s="33" t="inlineStr">
        <x:is>
          <x:t xml:space="preserve">Narrow adjacency</x:t>
        </x:is>
      </x:c>
    </x:row>
    <x:row r="9" ht="48" customHeight="1">
      <x:c r="A9" s="33" t="inlineStr">
        <x:is>
          <x:t xml:space="preserve">Rare disease</x:t>
        </x:is>
      </x:c>
      <x:c r="B9" s="33" t="inlineStr">
        <x:is>
          <x:t xml:space="preserve">Rare disease</x:t>
        </x:is>
      </x:c>
      <x:c r="C9" s="34" t="n">
        <x:f>COUNTIFS(Asset_Data!$A:$A,"AstraZeneca",Asset_Data!$C:$C,$A9)</x:f>
        <x:v>9</x:v>
      </x:c>
      <x:c r="D9" s="34" t="n">
        <x:f>COUNTIFS(Asset_Data!$A:$A,"Bristol Myers Squibb",Asset_Data!$C:$C,$A9)</x:f>
        <x:v>0</x:v>
      </x:c>
      <x:c r="E9" s="34" t="n">
        <x:f>SUM(C9:D9)</x:f>
        <x:v>9</x:v>
      </x:c>
      <x:c r="F9" s="35" t="e">
        <x:f>COUNTIFS(Overlap_Units!$A:$A,$A9,Overlap_Units!$B:$B,F4)</x:f>
      </x:c>
      <x:c r="G9" s="34" t="e">
        <x:f>IF(F9=0,0,MAXIFS(Overlap_Units!$F:$F,Overlap_Units!$A:$A,$A9,Overlap_Units!$B:$B,F4))</x:f>
      </x:c>
      <x:c r="H9" s="35" t="e">
        <x:f>COUNTIFS(Overlap_Units!$A:$A,$A9,Overlap_Units!$B:$B,H4)</x:f>
      </x:c>
      <x:c r="I9" s="34" t="e">
        <x:f>IF(H9=0,0,MAXIFS(Overlap_Units!$F:$F,Overlap_Units!$A:$A,$A9,Overlap_Units!$B:$B,H4))</x:f>
      </x:c>
      <x:c r="J9" s="35" t="e">
        <x:f>COUNTIFS(Overlap_Units!$A:$A,$A9,Overlap_Units!$B:$B,J4)</x:f>
      </x:c>
      <x:c r="K9" s="34" t="e">
        <x:f>IF(J9=0,0,MAXIFS(Overlap_Units!$F:$F,Overlap_Units!$A:$A,$A9,Overlap_Units!$B:$B,J4))</x:f>
      </x:c>
      <x:c r="L9" s="35" t="e">
        <x:f>COUNTIFS(Overlap_Units!$A:$A,$A9,Overlap_Units!$B:$B,L4)</x:f>
      </x:c>
      <x:c r="M9" s="34" t="e">
        <x:f>IF(L9=0,0,MAXIFS(Overlap_Units!$F:$F,Overlap_Units!$A:$A,$A9,Overlap_Units!$B:$B,L4))</x:f>
      </x:c>
      <x:c r="N9" s="33" t="inlineStr">
        <x:is>
          <x:t xml:space="preserve">AZ-led fit</x:t>
        </x:is>
      </x:c>
    </x:row>
    <x:row r="10" ht="48" customHeight="1">
      <x:c r="A10" s="33" t="inlineStr">
        <x:is>
          <x:t xml:space="preserve">Renal &amp; metabolic</x:t>
        </x:is>
      </x:c>
      <x:c r="B10" s="33" t="inlineStr">
        <x:is>
          <x:t xml:space="preserve">Renal / metabolic</x:t>
        </x:is>
      </x:c>
      <x:c r="C10" s="34" t="n">
        <x:f>COUNTIFS(Asset_Data!$A:$A,"AstraZeneca",Asset_Data!$C:$C,$A10)</x:f>
        <x:v>7</x:v>
      </x:c>
      <x:c r="D10" s="34" t="n">
        <x:f>COUNTIFS(Asset_Data!$A:$A,"Bristol Myers Squibb",Asset_Data!$C:$C,$A10)</x:f>
        <x:v>0</x:v>
      </x:c>
      <x:c r="E10" s="34" t="n">
        <x:f>SUM(C10:D10)</x:f>
        <x:v>7</x:v>
      </x:c>
      <x:c r="F10" s="35" t="e">
        <x:f>COUNTIFS(Overlap_Units!$A:$A,$A10,Overlap_Units!$B:$B,F4)</x:f>
      </x:c>
      <x:c r="G10" s="34" t="e">
        <x:f>IF(F10=0,0,MAXIFS(Overlap_Units!$F:$F,Overlap_Units!$A:$A,$A10,Overlap_Units!$B:$B,F4))</x:f>
      </x:c>
      <x:c r="H10" s="35" t="e">
        <x:f>COUNTIFS(Overlap_Units!$A:$A,$A10,Overlap_Units!$B:$B,H4)</x:f>
      </x:c>
      <x:c r="I10" s="34" t="e">
        <x:f>IF(H10=0,0,MAXIFS(Overlap_Units!$F:$F,Overlap_Units!$A:$A,$A10,Overlap_Units!$B:$B,H4))</x:f>
      </x:c>
      <x:c r="J10" s="35" t="e">
        <x:f>COUNTIFS(Overlap_Units!$A:$A,$A10,Overlap_Units!$B:$B,J4)</x:f>
      </x:c>
      <x:c r="K10" s="34" t="e">
        <x:f>IF(J10=0,0,MAXIFS(Overlap_Units!$F:$F,Overlap_Units!$A:$A,$A10,Overlap_Units!$B:$B,J4))</x:f>
      </x:c>
      <x:c r="L10" s="35" t="e">
        <x:f>COUNTIFS(Overlap_Units!$A:$A,$A10,Overlap_Units!$B:$B,L4)</x:f>
      </x:c>
      <x:c r="M10" s="34" t="e">
        <x:f>IF(L10=0,0,MAXIFS(Overlap_Units!$F:$F,Overlap_Units!$A:$A,$A10,Overlap_Units!$B:$B,L4))</x:f>
      </x:c>
      <x:c r="N10" s="33" t="inlineStr">
        <x:is>
          <x:t xml:space="preserve">AZ-led fit</x:t>
        </x:is>
      </x:c>
    </x:row>
    <x:row r="11" ht="48" customHeight="1">
      <x:c r="A11" s="33" t="inlineStr">
        <x:is>
          <x:t xml:space="preserve">Infectious disease</x:t>
        </x:is>
      </x:c>
      <x:c r="B11" s="33" t="inlineStr">
        <x:is>
          <x:t xml:space="preserve">Infectious disease</x:t>
        </x:is>
      </x:c>
      <x:c r="C11" s="34" t="n">
        <x:f>COUNTIFS(Asset_Data!$A:$A,"AstraZeneca",Asset_Data!$C:$C,$A11)</x:f>
        <x:v>3</x:v>
      </x:c>
      <x:c r="D11" s="34" t="n">
        <x:f>COUNTIFS(Asset_Data!$A:$A,"Bristol Myers Squibb",Asset_Data!$C:$C,$A11)</x:f>
        <x:v>0</x:v>
      </x:c>
      <x:c r="E11" s="34" t="n">
        <x:f>SUM(C11:D11)</x:f>
        <x:v>3</x:v>
      </x:c>
      <x:c r="F11" s="35" t="e">
        <x:f>COUNTIFS(Overlap_Units!$A:$A,$A11,Overlap_Units!$B:$B,F4)</x:f>
      </x:c>
      <x:c r="G11" s="34" t="e">
        <x:f>IF(F11=0,0,MAXIFS(Overlap_Units!$F:$F,Overlap_Units!$A:$A,$A11,Overlap_Units!$B:$B,F4))</x:f>
      </x:c>
      <x:c r="H11" s="35" t="e">
        <x:f>COUNTIFS(Overlap_Units!$A:$A,$A11,Overlap_Units!$B:$B,H4)</x:f>
      </x:c>
      <x:c r="I11" s="34" t="e">
        <x:f>IF(H11=0,0,MAXIFS(Overlap_Units!$F:$F,Overlap_Units!$A:$A,$A11,Overlap_Units!$B:$B,H4))</x:f>
      </x:c>
      <x:c r="J11" s="35" t="e">
        <x:f>COUNTIFS(Overlap_Units!$A:$A,$A11,Overlap_Units!$B:$B,J4)</x:f>
      </x:c>
      <x:c r="K11" s="34" t="e">
        <x:f>IF(J11=0,0,MAXIFS(Overlap_Units!$F:$F,Overlap_Units!$A:$A,$A11,Overlap_Units!$B:$B,J4))</x:f>
      </x:c>
      <x:c r="L11" s="35" t="e">
        <x:f>COUNTIFS(Overlap_Units!$A:$A,$A11,Overlap_Units!$B:$B,L4)</x:f>
      </x:c>
      <x:c r="M11" s="34" t="e">
        <x:f>IF(L11=0,0,MAXIFS(Overlap_Units!$F:$F,Overlap_Units!$A:$A,$A11,Overlap_Units!$B:$B,L4))</x:f>
      </x:c>
      <x:c r="N11" s="33" t="inlineStr">
        <x:is>
          <x:t xml:space="preserve">AZ-led fit</x:t>
        </x:is>
      </x:c>
    </x:row>
    <x:row r="12" ht="48" customHeight="1">
      <x:c r="A12" s="33" t="inlineStr">
        <x:is>
          <x:t xml:space="preserve">Neuroscience</x:t>
        </x:is>
      </x:c>
      <x:c r="B12" s="33" t="inlineStr">
        <x:is>
          <x:t xml:space="preserve">Neuroscience</x:t>
        </x:is>
      </x:c>
      <x:c r="C12" s="34" t="n">
        <x:f>COUNTIFS(Asset_Data!$A:$A,"AstraZeneca",Asset_Data!$C:$C,$A12)</x:f>
        <x:v>0</x:v>
      </x:c>
      <x:c r="D12" s="34" t="n">
        <x:f>COUNTIFS(Asset_Data!$A:$A,"Bristol Myers Squibb",Asset_Data!$C:$C,$A12)</x:f>
        <x:v>2</x:v>
      </x:c>
      <x:c r="E12" s="34" t="n">
        <x:f>SUM(C12:D12)</x:f>
        <x:v>2</x:v>
      </x:c>
      <x:c r="F12" s="35" t="e">
        <x:f>COUNTIFS(Overlap_Units!$A:$A,$A12,Overlap_Units!$B:$B,F4)</x:f>
      </x:c>
      <x:c r="G12" s="34" t="e">
        <x:f>IF(F12=0,0,MAXIFS(Overlap_Units!$F:$F,Overlap_Units!$A:$A,$A12,Overlap_Units!$B:$B,F4))</x:f>
      </x:c>
      <x:c r="H12" s="35" t="e">
        <x:f>COUNTIFS(Overlap_Units!$A:$A,$A12,Overlap_Units!$B:$B,H4)</x:f>
      </x:c>
      <x:c r="I12" s="34" t="e">
        <x:f>IF(H12=0,0,MAXIFS(Overlap_Units!$F:$F,Overlap_Units!$A:$A,$A12,Overlap_Units!$B:$B,H4))</x:f>
      </x:c>
      <x:c r="J12" s="35" t="e">
        <x:f>COUNTIFS(Overlap_Units!$A:$A,$A12,Overlap_Units!$B:$B,J4)</x:f>
      </x:c>
      <x:c r="K12" s="34" t="e">
        <x:f>IF(J12=0,0,MAXIFS(Overlap_Units!$F:$F,Overlap_Units!$A:$A,$A12,Overlap_Units!$B:$B,J4))</x:f>
      </x:c>
      <x:c r="L12" s="35" t="e">
        <x:f>COUNTIFS(Overlap_Units!$A:$A,$A12,Overlap_Units!$B:$B,L4)</x:f>
      </x:c>
      <x:c r="M12" s="34" t="e">
        <x:f>IF(L12=0,0,MAXIFS(Overlap_Units!$F:$F,Overlap_Units!$A:$A,$A12,Overlap_Units!$B:$B,L4))</x:f>
      </x:c>
      <x:c r="N12" s="33" t="inlineStr">
        <x:is>
          <x:t xml:space="preserve">BMS-led fit</x:t>
        </x:is>
      </x:c>
    </x:row>
    <x:row r="15" ht="30" customHeight="1">
      <x:c r="A15" s="36" t="inlineStr">
        <x:is>
          <x:t xml:space="preserve">Definition: overlap count = number of distinct shared territories/classes, not the number of all possible AZ-BMS asset pairs. Late-stage program = unique lead asset in Phase II or Phase III/pivotal/registration.</x:t>
        </x:is>
      </x:c>
    </x:row>
  </x:sheetData>
  <x:mergeCells>
    <x:mergeCell ref="A15:N15"/>
    <x:mergeCell ref="A2:N2"/>
    <x:mergeCell ref="A1:N1"/>
  </x:mergeCells>
  <x:conditionalFormatting sqref="G5:G12">
    <x:cfRule type="cellIs" dxfId="0" priority="1" operator="equal">
      <x:formula>0</x:formula>
    </x:cfRule>
    <x:cfRule type="cellIs" dxfId="1" priority="2" operator="equal">
      <x:formula>1</x:formula>
    </x:cfRule>
    <x:cfRule type="cellIs" dxfId="2" priority="3" operator="equal">
      <x:formula>2</x:formula>
    </x:cfRule>
    <x:cfRule type="cellIs" dxfId="3" priority="4" operator="equal">
      <x:formula>3</x:formula>
    </x:cfRule>
  </x:conditionalFormatting>
  <x:conditionalFormatting sqref="I5:I12">
    <x:cfRule type="cellIs" dxfId="0" priority="5" operator="equal">
      <x:formula>0</x:formula>
    </x:cfRule>
    <x:cfRule type="cellIs" dxfId="1" priority="6" operator="equal">
      <x:formula>1</x:formula>
    </x:cfRule>
    <x:cfRule type="cellIs" dxfId="2" priority="7" operator="equal">
      <x:formula>2</x:formula>
    </x:cfRule>
    <x:cfRule type="cellIs" dxfId="3" priority="8" operator="equal">
      <x:formula>3</x:formula>
    </x:cfRule>
  </x:conditionalFormatting>
  <x:conditionalFormatting sqref="K5:K12">
    <x:cfRule type="cellIs" dxfId="0" priority="9" operator="equal">
      <x:formula>0</x:formula>
    </x:cfRule>
    <x:cfRule type="cellIs" dxfId="1" priority="10" operator="equal">
      <x:formula>1</x:formula>
    </x:cfRule>
    <x:cfRule type="cellIs" dxfId="2" priority="11" operator="equal">
      <x:formula>2</x:formula>
    </x:cfRule>
    <x:cfRule type="cellIs" dxfId="3" priority="12" operator="equal">
      <x:formula>3</x:formula>
    </x:cfRule>
  </x:conditionalFormatting>
  <x:conditionalFormatting sqref="M5:M12">
    <x:cfRule type="cellIs" dxfId="0" priority="13" operator="equal">
      <x:formula>0</x:formula>
    </x:cfRule>
    <x:cfRule type="cellIs" dxfId="1" priority="14" operator="equal">
      <x:formula>1</x:formula>
    </x:cfRule>
    <x:cfRule type="cellIs" dxfId="2" priority="15" operator="equal">
      <x:formula>2</x:formula>
    </x:cfRule>
    <x:cfRule type="cellIs" dxfId="3" priority="16" operator="equal">
      <x:formula>3</x:formula>
    </x:cfRule>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31" customWidth="1"/>
    <x:col min="2" max="2" width="23" customWidth="1"/>
    <x:col min="3" max="3" width="28" customWidth="1"/>
    <x:col min="4" max="4" width="15" customWidth="1"/>
    <x:col min="5" max="5" width="12" customWidth="1"/>
    <x:col min="6" max="6" width="12" customWidth="1"/>
    <x:col min="7" max="7" width="12" customWidth="1"/>
    <x:col min="8" max="8" width="20" customWidth="1"/>
  </x:cols>
  <x:sheetData>
    <x:row r="1">
      <x:c r="A1" s="37" t="inlineStr">
        <x:is>
          <x:t xml:space="preserve">Disease area</x:t>
        </x:is>
      </x:c>
      <x:c r="B1" s="37" t="inlineStr">
        <x:is>
          <x:t xml:space="preserve">Plot label</x:t>
        </x:is>
      </x:c>
      <x:c r="C1" s="37" t="inlineStr">
        <x:is>
          <x:t xml:space="preserve">Factor</x:t>
        </x:is>
      </x:c>
      <x:c r="D1" s="37" t="inlineStr">
        <x:is>
          <x:t xml:space="preserve">Overlap count</x:t>
        </x:is>
      </x:c>
      <x:c r="E1" s="37" t="inlineStr">
        <x:is>
          <x:t xml:space="preserve">Intensity</x:t>
        </x:is>
      </x:c>
      <x:c r="F1" s="37" t="inlineStr">
        <x:is>
          <x:t xml:space="preserve">AZ programs</x:t>
        </x:is>
      </x:c>
      <x:c r="G1" s="37" t="inlineStr">
        <x:is>
          <x:t xml:space="preserve">BMS programs</x:t>
        </x:is>
      </x:c>
      <x:c r="H1" s="37" t="inlineStr">
        <x:is>
          <x:t xml:space="preserve">Relationship</x:t>
        </x:is>
      </x:c>
    </x:row>
    <x:row r="2">
      <x:c r="A2" t="str">
        <x:f>Overlap_Matrix!A5</x:f>
        <x:v>Solid-tumor oncology</x:v>
      </x:c>
      <x:c r="B2" t="str">
        <x:f>Overlap_Matrix!B5</x:f>
        <x:v>Solid tumors</x:v>
      </x:c>
      <x:c r="C2" t="inlineStr">
        <x:is>
          <x:t xml:space="preserve">Shared indications</x:t>
        </x:is>
      </x:c>
      <x:c r="D2" t="e">
        <x:f>Overlap_Matrix!F5</x:f>
      </x:c>
      <x:c r="E2" t="e">
        <x:f>Overlap_Matrix!G5</x:f>
      </x:c>
      <x:c r="F2" t="n">
        <x:f>Overlap_Matrix!C5</x:f>
        <x:v>11</x:v>
      </x:c>
      <x:c r="G2" t="n">
        <x:f>Overlap_Matrix!D5</x:f>
        <x:v>7</x:v>
      </x:c>
      <x:c r="H2" t="str">
        <x:f>Overlap_Matrix!N5</x:f>
        <x:v>Strong collision</x:v>
      </x:c>
    </x:row>
    <x:row r="3">
      <x:c r="A3" t="str">
        <x:f>Overlap_Matrix!A5</x:f>
        <x:v>Solid-tumor oncology</x:v>
      </x:c>
      <x:c r="B3" t="str">
        <x:f>Overlap_Matrix!B5</x:f>
        <x:v>Solid tumors</x:v>
      </x:c>
      <x:c r="C3" t="inlineStr">
        <x:is>
          <x:t xml:space="preserve">Shared modalities</x:t>
        </x:is>
      </x:c>
      <x:c r="D3" t="e">
        <x:f>Overlap_Matrix!H5</x:f>
      </x:c>
      <x:c r="E3" t="e">
        <x:f>Overlap_Matrix!I5</x:f>
      </x:c>
      <x:c r="F3" t="n">
        <x:f>Overlap_Matrix!C5</x:f>
        <x:v>11</x:v>
      </x:c>
      <x:c r="G3" t="n">
        <x:f>Overlap_Matrix!D5</x:f>
        <x:v>7</x:v>
      </x:c>
      <x:c r="H3" t="str">
        <x:f>Overlap_Matrix!N5</x:f>
        <x:v>Strong collision</x:v>
      </x:c>
    </x:row>
    <x:row r="4">
      <x:c r="A4" t="str">
        <x:f>Overlap_Matrix!A5</x:f>
        <x:v>Solid-tumor oncology</x:v>
      </x:c>
      <x:c r="B4" t="str">
        <x:f>Overlap_Matrix!B5</x:f>
        <x:v>Solid tumors</x:v>
      </x:c>
      <x:c r="C4" t="inlineStr">
        <x:is>
          <x:t xml:space="preserve">Shared target / mechanism</x:t>
        </x:is>
      </x:c>
      <x:c r="D4" t="e">
        <x:f>Overlap_Matrix!J5</x:f>
      </x:c>
      <x:c r="E4" t="e">
        <x:f>Overlap_Matrix!K5</x:f>
      </x:c>
      <x:c r="F4" t="n">
        <x:f>Overlap_Matrix!C5</x:f>
        <x:v>11</x:v>
      </x:c>
      <x:c r="G4" t="n">
        <x:f>Overlap_Matrix!D5</x:f>
        <x:v>7</x:v>
      </x:c>
      <x:c r="H4" t="str">
        <x:f>Overlap_Matrix!N5</x:f>
        <x:v>Strong collision</x:v>
      </x:c>
    </x:row>
    <x:row r="5">
      <x:c r="A5" t="str">
        <x:f>Overlap_Matrix!A5</x:f>
        <x:v>Solid-tumor oncology</x:v>
      </x:c>
      <x:c r="B5" t="str">
        <x:f>Overlap_Matrix!B5</x:f>
        <x:v>Solid tumors</x:v>
      </x:c>
      <x:c r="C5" t="inlineStr">
        <x:is>
          <x:t xml:space="preserve">Stage alignment</x:t>
        </x:is>
      </x:c>
      <x:c r="D5" t="e">
        <x:f>Overlap_Matrix!L5</x:f>
      </x:c>
      <x:c r="E5" t="e">
        <x:f>Overlap_Matrix!M5</x:f>
      </x:c>
      <x:c r="F5" t="n">
        <x:f>Overlap_Matrix!C5</x:f>
        <x:v>11</x:v>
      </x:c>
      <x:c r="G5" t="n">
        <x:f>Overlap_Matrix!D5</x:f>
        <x:v>7</x:v>
      </x:c>
      <x:c r="H5" t="str">
        <x:f>Overlap_Matrix!N5</x:f>
        <x:v>Strong collision</x:v>
      </x:c>
    </x:row>
    <x:row r="6">
      <x:c r="A6" t="str">
        <x:f>Overlap_Matrix!A6</x:f>
        <x:v>Hematology</x:v>
      </x:c>
      <x:c r="B6" t="str">
        <x:f>Overlap_Matrix!B6</x:f>
        <x:v>Hematology</x:v>
      </x:c>
      <x:c r="C6" t="inlineStr">
        <x:is>
          <x:t xml:space="preserve">Shared indications</x:t>
        </x:is>
      </x:c>
      <x:c r="D6" t="e">
        <x:f>Overlap_Matrix!F6</x:f>
      </x:c>
      <x:c r="E6" t="e">
        <x:f>Overlap_Matrix!G6</x:f>
      </x:c>
      <x:c r="F6" t="n">
        <x:f>Overlap_Matrix!C6</x:f>
        <x:v>4</x:v>
      </x:c>
      <x:c r="G6" t="n">
        <x:f>Overlap_Matrix!D6</x:f>
        <x:v>4</x:v>
      </x:c>
      <x:c r="H6" t="str">
        <x:f>Overlap_Matrix!N6</x:f>
        <x:v>Strong collision</x:v>
      </x:c>
    </x:row>
    <x:row r="7">
      <x:c r="A7" t="str">
        <x:f>Overlap_Matrix!A6</x:f>
        <x:v>Hematology</x:v>
      </x:c>
      <x:c r="B7" t="str">
        <x:f>Overlap_Matrix!B6</x:f>
        <x:v>Hematology</x:v>
      </x:c>
      <x:c r="C7" t="inlineStr">
        <x:is>
          <x:t xml:space="preserve">Shared modalities</x:t>
        </x:is>
      </x:c>
      <x:c r="D7" t="e">
        <x:f>Overlap_Matrix!H6</x:f>
      </x:c>
      <x:c r="E7" t="e">
        <x:f>Overlap_Matrix!I6</x:f>
      </x:c>
      <x:c r="F7" t="n">
        <x:f>Overlap_Matrix!C6</x:f>
        <x:v>4</x:v>
      </x:c>
      <x:c r="G7" t="n">
        <x:f>Overlap_Matrix!D6</x:f>
        <x:v>4</x:v>
      </x:c>
      <x:c r="H7" t="str">
        <x:f>Overlap_Matrix!N6</x:f>
        <x:v>Strong collision</x:v>
      </x:c>
    </x:row>
    <x:row r="8">
      <x:c r="A8" t="str">
        <x:f>Overlap_Matrix!A6</x:f>
        <x:v>Hematology</x:v>
      </x:c>
      <x:c r="B8" t="str">
        <x:f>Overlap_Matrix!B6</x:f>
        <x:v>Hematology</x:v>
      </x:c>
      <x:c r="C8" t="inlineStr">
        <x:is>
          <x:t xml:space="preserve">Shared target / mechanism</x:t>
        </x:is>
      </x:c>
      <x:c r="D8" t="e">
        <x:f>Overlap_Matrix!J6</x:f>
      </x:c>
      <x:c r="E8" t="e">
        <x:f>Overlap_Matrix!K6</x:f>
      </x:c>
      <x:c r="F8" t="n">
        <x:f>Overlap_Matrix!C6</x:f>
        <x:v>4</x:v>
      </x:c>
      <x:c r="G8" t="n">
        <x:f>Overlap_Matrix!D6</x:f>
        <x:v>4</x:v>
      </x:c>
      <x:c r="H8" t="str">
        <x:f>Overlap_Matrix!N6</x:f>
        <x:v>Strong collision</x:v>
      </x:c>
    </x:row>
    <x:row r="9">
      <x:c r="A9" t="str">
        <x:f>Overlap_Matrix!A6</x:f>
        <x:v>Hematology</x:v>
      </x:c>
      <x:c r="B9" t="str">
        <x:f>Overlap_Matrix!B6</x:f>
        <x:v>Hematology</x:v>
      </x:c>
      <x:c r="C9" t="inlineStr">
        <x:is>
          <x:t xml:space="preserve">Stage alignment</x:t>
        </x:is>
      </x:c>
      <x:c r="D9" t="e">
        <x:f>Overlap_Matrix!L6</x:f>
      </x:c>
      <x:c r="E9" t="e">
        <x:f>Overlap_Matrix!M6</x:f>
      </x:c>
      <x:c r="F9" t="n">
        <x:f>Overlap_Matrix!C6</x:f>
        <x:v>4</x:v>
      </x:c>
      <x:c r="G9" t="n">
        <x:f>Overlap_Matrix!D6</x:f>
        <x:v>4</x:v>
      </x:c>
      <x:c r="H9" t="str">
        <x:f>Overlap_Matrix!N6</x:f>
        <x:v>Strong collision</x:v>
      </x:c>
    </x:row>
    <x:row r="10">
      <x:c r="A10" t="str">
        <x:f>Overlap_Matrix!A7</x:f>
        <x:v>Immunology, respiratory &amp; fibrosis</x:v>
      </x:c>
      <x:c r="B10" t="str">
        <x:f>Overlap_Matrix!B7</x:f>
        <x:v>Immunology / resp. / fibrosis</x:v>
      </x:c>
      <x:c r="C10" t="inlineStr">
        <x:is>
          <x:t xml:space="preserve">Shared indications</x:t>
        </x:is>
      </x:c>
      <x:c r="D10" t="e">
        <x:f>Overlap_Matrix!F7</x:f>
      </x:c>
      <x:c r="E10" t="e">
        <x:f>Overlap_Matrix!G7</x:f>
      </x:c>
      <x:c r="F10" t="n">
        <x:f>Overlap_Matrix!C7</x:f>
        <x:v>7</x:v>
      </x:c>
      <x:c r="G10" t="n">
        <x:f>Overlap_Matrix!D7</x:f>
        <x:v>3</x:v>
      </x:c>
      <x:c r="H10" t="str">
        <x:f>Overlap_Matrix!N7</x:f>
        <x:v>Platform adjacency</x:v>
      </x:c>
    </x:row>
    <x:row r="11">
      <x:c r="A11" t="str">
        <x:f>Overlap_Matrix!A7</x:f>
        <x:v>Immunology, respiratory &amp; fibrosis</x:v>
      </x:c>
      <x:c r="B11" t="str">
        <x:f>Overlap_Matrix!B7</x:f>
        <x:v>Immunology / resp. / fibrosis</x:v>
      </x:c>
      <x:c r="C11" t="inlineStr">
        <x:is>
          <x:t xml:space="preserve">Shared modalities</x:t>
        </x:is>
      </x:c>
      <x:c r="D11" t="e">
        <x:f>Overlap_Matrix!H7</x:f>
      </x:c>
      <x:c r="E11" t="e">
        <x:f>Overlap_Matrix!I7</x:f>
      </x:c>
      <x:c r="F11" t="n">
        <x:f>Overlap_Matrix!C7</x:f>
        <x:v>7</x:v>
      </x:c>
      <x:c r="G11" t="n">
        <x:f>Overlap_Matrix!D7</x:f>
        <x:v>3</x:v>
      </x:c>
      <x:c r="H11" t="str">
        <x:f>Overlap_Matrix!N7</x:f>
        <x:v>Platform adjacency</x:v>
      </x:c>
    </x:row>
    <x:row r="12">
      <x:c r="A12" t="str">
        <x:f>Overlap_Matrix!A7</x:f>
        <x:v>Immunology, respiratory &amp; fibrosis</x:v>
      </x:c>
      <x:c r="B12" t="str">
        <x:f>Overlap_Matrix!B7</x:f>
        <x:v>Immunology / resp. / fibrosis</x:v>
      </x:c>
      <x:c r="C12" t="inlineStr">
        <x:is>
          <x:t xml:space="preserve">Shared target / mechanism</x:t>
        </x:is>
      </x:c>
      <x:c r="D12" t="e">
        <x:f>Overlap_Matrix!J7</x:f>
      </x:c>
      <x:c r="E12" t="e">
        <x:f>Overlap_Matrix!K7</x:f>
      </x:c>
      <x:c r="F12" t="n">
        <x:f>Overlap_Matrix!C7</x:f>
        <x:v>7</x:v>
      </x:c>
      <x:c r="G12" t="n">
        <x:f>Overlap_Matrix!D7</x:f>
        <x:v>3</x:v>
      </x:c>
      <x:c r="H12" t="str">
        <x:f>Overlap_Matrix!N7</x:f>
        <x:v>Platform adjacency</x:v>
      </x:c>
    </x:row>
    <x:row r="13">
      <x:c r="A13" t="str">
        <x:f>Overlap_Matrix!A7</x:f>
        <x:v>Immunology, respiratory &amp; fibrosis</x:v>
      </x:c>
      <x:c r="B13" t="str">
        <x:f>Overlap_Matrix!B7</x:f>
        <x:v>Immunology / resp. / fibrosis</x:v>
      </x:c>
      <x:c r="C13" t="inlineStr">
        <x:is>
          <x:t xml:space="preserve">Stage alignment</x:t>
        </x:is>
      </x:c>
      <x:c r="D13" t="e">
        <x:f>Overlap_Matrix!L7</x:f>
      </x:c>
      <x:c r="E13" t="e">
        <x:f>Overlap_Matrix!M7</x:f>
      </x:c>
      <x:c r="F13" t="n">
        <x:f>Overlap_Matrix!C7</x:f>
        <x:v>7</x:v>
      </x:c>
      <x:c r="G13" t="n">
        <x:f>Overlap_Matrix!D7</x:f>
        <x:v>3</x:v>
      </x:c>
      <x:c r="H13" t="str">
        <x:f>Overlap_Matrix!N7</x:f>
        <x:v>Platform adjacency</x:v>
      </x:c>
    </x:row>
    <x:row r="14">
      <x:c r="A14" t="str">
        <x:f>Overlap_Matrix!A8</x:f>
        <x:v>Cardiovascular</x:v>
      </x:c>
      <x:c r="B14" t="str">
        <x:f>Overlap_Matrix!B8</x:f>
        <x:v>CV</x:v>
      </x:c>
      <x:c r="C14" t="inlineStr">
        <x:is>
          <x:t xml:space="preserve">Shared indications</x:t>
        </x:is>
      </x:c>
      <x:c r="D14" t="e">
        <x:f>Overlap_Matrix!F8</x:f>
      </x:c>
      <x:c r="E14" t="e">
        <x:f>Overlap_Matrix!G8</x:f>
      </x:c>
      <x:c r="F14" t="n">
        <x:f>Overlap_Matrix!C8</x:f>
        <x:v>3</x:v>
      </x:c>
      <x:c r="G14" t="n">
        <x:f>Overlap_Matrix!D8</x:f>
        <x:v>2</x:v>
      </x:c>
      <x:c r="H14" t="str">
        <x:f>Overlap_Matrix!N8</x:f>
        <x:v>Narrow adjacency</x:v>
      </x:c>
    </x:row>
    <x:row r="15">
      <x:c r="A15" t="str">
        <x:f>Overlap_Matrix!A8</x:f>
        <x:v>Cardiovascular</x:v>
      </x:c>
      <x:c r="B15" t="str">
        <x:f>Overlap_Matrix!B8</x:f>
        <x:v>CV</x:v>
      </x:c>
      <x:c r="C15" t="inlineStr">
        <x:is>
          <x:t xml:space="preserve">Shared modalities</x:t>
        </x:is>
      </x:c>
      <x:c r="D15" t="e">
        <x:f>Overlap_Matrix!H8</x:f>
      </x:c>
      <x:c r="E15" t="e">
        <x:f>Overlap_Matrix!I8</x:f>
      </x:c>
      <x:c r="F15" t="n">
        <x:f>Overlap_Matrix!C8</x:f>
        <x:v>3</x:v>
      </x:c>
      <x:c r="G15" t="n">
        <x:f>Overlap_Matrix!D8</x:f>
        <x:v>2</x:v>
      </x:c>
      <x:c r="H15" t="str">
        <x:f>Overlap_Matrix!N8</x:f>
        <x:v>Narrow adjacency</x:v>
      </x:c>
    </x:row>
    <x:row r="16">
      <x:c r="A16" t="str">
        <x:f>Overlap_Matrix!A8</x:f>
        <x:v>Cardiovascular</x:v>
      </x:c>
      <x:c r="B16" t="str">
        <x:f>Overlap_Matrix!B8</x:f>
        <x:v>CV</x:v>
      </x:c>
      <x:c r="C16" t="inlineStr">
        <x:is>
          <x:t xml:space="preserve">Shared target / mechanism</x:t>
        </x:is>
      </x:c>
      <x:c r="D16" t="e">
        <x:f>Overlap_Matrix!J8</x:f>
      </x:c>
      <x:c r="E16" t="e">
        <x:f>Overlap_Matrix!K8</x:f>
      </x:c>
      <x:c r="F16" t="n">
        <x:f>Overlap_Matrix!C8</x:f>
        <x:v>3</x:v>
      </x:c>
      <x:c r="G16" t="n">
        <x:f>Overlap_Matrix!D8</x:f>
        <x:v>2</x:v>
      </x:c>
      <x:c r="H16" t="str">
        <x:f>Overlap_Matrix!N8</x:f>
        <x:v>Narrow adjacency</x:v>
      </x:c>
    </x:row>
    <x:row r="17">
      <x:c r="A17" t="str">
        <x:f>Overlap_Matrix!A8</x:f>
        <x:v>Cardiovascular</x:v>
      </x:c>
      <x:c r="B17" t="str">
        <x:f>Overlap_Matrix!B8</x:f>
        <x:v>CV</x:v>
      </x:c>
      <x:c r="C17" t="inlineStr">
        <x:is>
          <x:t xml:space="preserve">Stage alignment</x:t>
        </x:is>
      </x:c>
      <x:c r="D17" t="e">
        <x:f>Overlap_Matrix!L8</x:f>
      </x:c>
      <x:c r="E17" t="e">
        <x:f>Overlap_Matrix!M8</x:f>
      </x:c>
      <x:c r="F17" t="n">
        <x:f>Overlap_Matrix!C8</x:f>
        <x:v>3</x:v>
      </x:c>
      <x:c r="G17" t="n">
        <x:f>Overlap_Matrix!D8</x:f>
        <x:v>2</x:v>
      </x:c>
      <x:c r="H17" t="str">
        <x:f>Overlap_Matrix!N8</x:f>
        <x:v>Narrow adjacency</x:v>
      </x:c>
    </x:row>
    <x:row r="18">
      <x:c r="A18" t="str">
        <x:f>Overlap_Matrix!A9</x:f>
        <x:v>Rare disease</x:v>
      </x:c>
      <x:c r="B18" t="str">
        <x:f>Overlap_Matrix!B9</x:f>
        <x:v>Rare disease</x:v>
      </x:c>
      <x:c r="C18" t="inlineStr">
        <x:is>
          <x:t xml:space="preserve">Shared indications</x:t>
        </x:is>
      </x:c>
      <x:c r="D18" t="e">
        <x:f>Overlap_Matrix!F9</x:f>
      </x:c>
      <x:c r="E18" t="e">
        <x:f>Overlap_Matrix!G9</x:f>
      </x:c>
      <x:c r="F18" t="n">
        <x:f>Overlap_Matrix!C9</x:f>
        <x:v>9</x:v>
      </x:c>
      <x:c r="G18" t="n">
        <x:f>Overlap_Matrix!D9</x:f>
        <x:v>0</x:v>
      </x:c>
      <x:c r="H18" t="str">
        <x:f>Overlap_Matrix!N9</x:f>
        <x:v>AZ-led fit</x:v>
      </x:c>
    </x:row>
    <x:row r="19">
      <x:c r="A19" t="str">
        <x:f>Overlap_Matrix!A9</x:f>
        <x:v>Rare disease</x:v>
      </x:c>
      <x:c r="B19" t="str">
        <x:f>Overlap_Matrix!B9</x:f>
        <x:v>Rare disease</x:v>
      </x:c>
      <x:c r="C19" t="inlineStr">
        <x:is>
          <x:t xml:space="preserve">Shared modalities</x:t>
        </x:is>
      </x:c>
      <x:c r="D19" t="e">
        <x:f>Overlap_Matrix!H9</x:f>
      </x:c>
      <x:c r="E19" t="e">
        <x:f>Overlap_Matrix!I9</x:f>
      </x:c>
      <x:c r="F19" t="n">
        <x:f>Overlap_Matrix!C9</x:f>
        <x:v>9</x:v>
      </x:c>
      <x:c r="G19" t="n">
        <x:f>Overlap_Matrix!D9</x:f>
        <x:v>0</x:v>
      </x:c>
      <x:c r="H19" t="str">
        <x:f>Overlap_Matrix!N9</x:f>
        <x:v>AZ-led fit</x:v>
      </x:c>
    </x:row>
    <x:row r="20">
      <x:c r="A20" t="str">
        <x:f>Overlap_Matrix!A9</x:f>
        <x:v>Rare disease</x:v>
      </x:c>
      <x:c r="B20" t="str">
        <x:f>Overlap_Matrix!B9</x:f>
        <x:v>Rare disease</x:v>
      </x:c>
      <x:c r="C20" t="inlineStr">
        <x:is>
          <x:t xml:space="preserve">Shared target / mechanism</x:t>
        </x:is>
      </x:c>
      <x:c r="D20" t="e">
        <x:f>Overlap_Matrix!J9</x:f>
      </x:c>
      <x:c r="E20" t="e">
        <x:f>Overlap_Matrix!K9</x:f>
      </x:c>
      <x:c r="F20" t="n">
        <x:f>Overlap_Matrix!C9</x:f>
        <x:v>9</x:v>
      </x:c>
      <x:c r="G20" t="n">
        <x:f>Overlap_Matrix!D9</x:f>
        <x:v>0</x:v>
      </x:c>
      <x:c r="H20" t="str">
        <x:f>Overlap_Matrix!N9</x:f>
        <x:v>AZ-led fit</x:v>
      </x:c>
    </x:row>
    <x:row r="21">
      <x:c r="A21" t="str">
        <x:f>Overlap_Matrix!A9</x:f>
        <x:v>Rare disease</x:v>
      </x:c>
      <x:c r="B21" t="str">
        <x:f>Overlap_Matrix!B9</x:f>
        <x:v>Rare disease</x:v>
      </x:c>
      <x:c r="C21" t="inlineStr">
        <x:is>
          <x:t xml:space="preserve">Stage alignment</x:t>
        </x:is>
      </x:c>
      <x:c r="D21" t="e">
        <x:f>Overlap_Matrix!L9</x:f>
      </x:c>
      <x:c r="E21" t="e">
        <x:f>Overlap_Matrix!M9</x:f>
      </x:c>
      <x:c r="F21" t="n">
        <x:f>Overlap_Matrix!C9</x:f>
        <x:v>9</x:v>
      </x:c>
      <x:c r="G21" t="n">
        <x:f>Overlap_Matrix!D9</x:f>
        <x:v>0</x:v>
      </x:c>
      <x:c r="H21" t="str">
        <x:f>Overlap_Matrix!N9</x:f>
        <x:v>AZ-led fit</x:v>
      </x:c>
    </x:row>
    <x:row r="22">
      <x:c r="A22" t="str">
        <x:f>Overlap_Matrix!A10</x:f>
        <x:v>Renal &amp; metabolic</x:v>
      </x:c>
      <x:c r="B22" t="str">
        <x:f>Overlap_Matrix!B10</x:f>
        <x:v>Renal / metabolic</x:v>
      </x:c>
      <x:c r="C22" t="inlineStr">
        <x:is>
          <x:t xml:space="preserve">Shared indications</x:t>
        </x:is>
      </x:c>
      <x:c r="D22" t="e">
        <x:f>Overlap_Matrix!F10</x:f>
      </x:c>
      <x:c r="E22" t="e">
        <x:f>Overlap_Matrix!G10</x:f>
      </x:c>
      <x:c r="F22" t="n">
        <x:f>Overlap_Matrix!C10</x:f>
        <x:v>7</x:v>
      </x:c>
      <x:c r="G22" t="n">
        <x:f>Overlap_Matrix!D10</x:f>
        <x:v>0</x:v>
      </x:c>
      <x:c r="H22" t="str">
        <x:f>Overlap_Matrix!N10</x:f>
        <x:v>AZ-led fit</x:v>
      </x:c>
    </x:row>
    <x:row r="23">
      <x:c r="A23" t="str">
        <x:f>Overlap_Matrix!A10</x:f>
        <x:v>Renal &amp; metabolic</x:v>
      </x:c>
      <x:c r="B23" t="str">
        <x:f>Overlap_Matrix!B10</x:f>
        <x:v>Renal / metabolic</x:v>
      </x:c>
      <x:c r="C23" t="inlineStr">
        <x:is>
          <x:t xml:space="preserve">Shared modalities</x:t>
        </x:is>
      </x:c>
      <x:c r="D23" t="e">
        <x:f>Overlap_Matrix!H10</x:f>
      </x:c>
      <x:c r="E23" t="e">
        <x:f>Overlap_Matrix!I10</x:f>
      </x:c>
      <x:c r="F23" t="n">
        <x:f>Overlap_Matrix!C10</x:f>
        <x:v>7</x:v>
      </x:c>
      <x:c r="G23" t="n">
        <x:f>Overlap_Matrix!D10</x:f>
        <x:v>0</x:v>
      </x:c>
      <x:c r="H23" t="str">
        <x:f>Overlap_Matrix!N10</x:f>
        <x:v>AZ-led fit</x:v>
      </x:c>
    </x:row>
    <x:row r="24">
      <x:c r="A24" t="str">
        <x:f>Overlap_Matrix!A10</x:f>
        <x:v>Renal &amp; metabolic</x:v>
      </x:c>
      <x:c r="B24" t="str">
        <x:f>Overlap_Matrix!B10</x:f>
        <x:v>Renal / metabolic</x:v>
      </x:c>
      <x:c r="C24" t="inlineStr">
        <x:is>
          <x:t xml:space="preserve">Shared target / mechanism</x:t>
        </x:is>
      </x:c>
      <x:c r="D24" t="e">
        <x:f>Overlap_Matrix!J10</x:f>
      </x:c>
      <x:c r="E24" t="e">
        <x:f>Overlap_Matrix!K10</x:f>
      </x:c>
      <x:c r="F24" t="n">
        <x:f>Overlap_Matrix!C10</x:f>
        <x:v>7</x:v>
      </x:c>
      <x:c r="G24" t="n">
        <x:f>Overlap_Matrix!D10</x:f>
        <x:v>0</x:v>
      </x:c>
      <x:c r="H24" t="str">
        <x:f>Overlap_Matrix!N10</x:f>
        <x:v>AZ-led fit</x:v>
      </x:c>
    </x:row>
    <x:row r="25">
      <x:c r="A25" t="str">
        <x:f>Overlap_Matrix!A10</x:f>
        <x:v>Renal &amp; metabolic</x:v>
      </x:c>
      <x:c r="B25" t="str">
        <x:f>Overlap_Matrix!B10</x:f>
        <x:v>Renal / metabolic</x:v>
      </x:c>
      <x:c r="C25" t="inlineStr">
        <x:is>
          <x:t xml:space="preserve">Stage alignment</x:t>
        </x:is>
      </x:c>
      <x:c r="D25" t="e">
        <x:f>Overlap_Matrix!L10</x:f>
      </x:c>
      <x:c r="E25" t="e">
        <x:f>Overlap_Matrix!M10</x:f>
      </x:c>
      <x:c r="F25" t="n">
        <x:f>Overlap_Matrix!C10</x:f>
        <x:v>7</x:v>
      </x:c>
      <x:c r="G25" t="n">
        <x:f>Overlap_Matrix!D10</x:f>
        <x:v>0</x:v>
      </x:c>
      <x:c r="H25" t="str">
        <x:f>Overlap_Matrix!N10</x:f>
        <x:v>AZ-led fit</x:v>
      </x:c>
    </x:row>
    <x:row r="26">
      <x:c r="A26" t="str">
        <x:f>Overlap_Matrix!A11</x:f>
        <x:v>Infectious disease</x:v>
      </x:c>
      <x:c r="B26" t="str">
        <x:f>Overlap_Matrix!B11</x:f>
        <x:v>Infectious disease</x:v>
      </x:c>
      <x:c r="C26" t="inlineStr">
        <x:is>
          <x:t xml:space="preserve">Shared indications</x:t>
        </x:is>
      </x:c>
      <x:c r="D26" t="e">
        <x:f>Overlap_Matrix!F11</x:f>
      </x:c>
      <x:c r="E26" t="e">
        <x:f>Overlap_Matrix!G11</x:f>
      </x:c>
      <x:c r="F26" t="n">
        <x:f>Overlap_Matrix!C11</x:f>
        <x:v>3</x:v>
      </x:c>
      <x:c r="G26" t="n">
        <x:f>Overlap_Matrix!D11</x:f>
        <x:v>0</x:v>
      </x:c>
      <x:c r="H26" t="str">
        <x:f>Overlap_Matrix!N11</x:f>
        <x:v>AZ-led fit</x:v>
      </x:c>
    </x:row>
    <x:row r="27">
      <x:c r="A27" t="str">
        <x:f>Overlap_Matrix!A11</x:f>
        <x:v>Infectious disease</x:v>
      </x:c>
      <x:c r="B27" t="str">
        <x:f>Overlap_Matrix!B11</x:f>
        <x:v>Infectious disease</x:v>
      </x:c>
      <x:c r="C27" t="inlineStr">
        <x:is>
          <x:t xml:space="preserve">Shared modalities</x:t>
        </x:is>
      </x:c>
      <x:c r="D27" t="e">
        <x:f>Overlap_Matrix!H11</x:f>
      </x:c>
      <x:c r="E27" t="e">
        <x:f>Overlap_Matrix!I11</x:f>
      </x:c>
      <x:c r="F27" t="n">
        <x:f>Overlap_Matrix!C11</x:f>
        <x:v>3</x:v>
      </x:c>
      <x:c r="G27" t="n">
        <x:f>Overlap_Matrix!D11</x:f>
        <x:v>0</x:v>
      </x:c>
      <x:c r="H27" t="str">
        <x:f>Overlap_Matrix!N11</x:f>
        <x:v>AZ-led fit</x:v>
      </x:c>
    </x:row>
    <x:row r="28">
      <x:c r="A28" t="str">
        <x:f>Overlap_Matrix!A11</x:f>
        <x:v>Infectious disease</x:v>
      </x:c>
      <x:c r="B28" t="str">
        <x:f>Overlap_Matrix!B11</x:f>
        <x:v>Infectious disease</x:v>
      </x:c>
      <x:c r="C28" t="inlineStr">
        <x:is>
          <x:t xml:space="preserve">Shared target / mechanism</x:t>
        </x:is>
      </x:c>
      <x:c r="D28" t="e">
        <x:f>Overlap_Matrix!J11</x:f>
      </x:c>
      <x:c r="E28" t="e">
        <x:f>Overlap_Matrix!K11</x:f>
      </x:c>
      <x:c r="F28" t="n">
        <x:f>Overlap_Matrix!C11</x:f>
        <x:v>3</x:v>
      </x:c>
      <x:c r="G28" t="n">
        <x:f>Overlap_Matrix!D11</x:f>
        <x:v>0</x:v>
      </x:c>
      <x:c r="H28" t="str">
        <x:f>Overlap_Matrix!N11</x:f>
        <x:v>AZ-led fit</x:v>
      </x:c>
    </x:row>
    <x:row r="29">
      <x:c r="A29" t="str">
        <x:f>Overlap_Matrix!A11</x:f>
        <x:v>Infectious disease</x:v>
      </x:c>
      <x:c r="B29" t="str">
        <x:f>Overlap_Matrix!B11</x:f>
        <x:v>Infectious disease</x:v>
      </x:c>
      <x:c r="C29" t="inlineStr">
        <x:is>
          <x:t xml:space="preserve">Stage alignment</x:t>
        </x:is>
      </x:c>
      <x:c r="D29" t="e">
        <x:f>Overlap_Matrix!L11</x:f>
      </x:c>
      <x:c r="E29" t="e">
        <x:f>Overlap_Matrix!M11</x:f>
      </x:c>
      <x:c r="F29" t="n">
        <x:f>Overlap_Matrix!C11</x:f>
        <x:v>3</x:v>
      </x:c>
      <x:c r="G29" t="n">
        <x:f>Overlap_Matrix!D11</x:f>
        <x:v>0</x:v>
      </x:c>
      <x:c r="H29" t="str">
        <x:f>Overlap_Matrix!N11</x:f>
        <x:v>AZ-led fit</x:v>
      </x:c>
    </x:row>
    <x:row r="30">
      <x:c r="A30" t="str">
        <x:f>Overlap_Matrix!A12</x:f>
        <x:v>Neuroscience</x:v>
      </x:c>
      <x:c r="B30" t="str">
        <x:f>Overlap_Matrix!B12</x:f>
        <x:v>Neuroscience</x:v>
      </x:c>
      <x:c r="C30" t="inlineStr">
        <x:is>
          <x:t xml:space="preserve">Shared indications</x:t>
        </x:is>
      </x:c>
      <x:c r="D30" t="e">
        <x:f>Overlap_Matrix!F12</x:f>
      </x:c>
      <x:c r="E30" t="e">
        <x:f>Overlap_Matrix!G12</x:f>
      </x:c>
      <x:c r="F30" t="n">
        <x:f>Overlap_Matrix!C12</x:f>
        <x:v>0</x:v>
      </x:c>
      <x:c r="G30" t="n">
        <x:f>Overlap_Matrix!D12</x:f>
        <x:v>2</x:v>
      </x:c>
      <x:c r="H30" t="str">
        <x:f>Overlap_Matrix!N12</x:f>
        <x:v>BMS-led fit</x:v>
      </x:c>
    </x:row>
    <x:row r="31">
      <x:c r="A31" t="str">
        <x:f>Overlap_Matrix!A12</x:f>
        <x:v>Neuroscience</x:v>
      </x:c>
      <x:c r="B31" t="str">
        <x:f>Overlap_Matrix!B12</x:f>
        <x:v>Neuroscience</x:v>
      </x:c>
      <x:c r="C31" t="inlineStr">
        <x:is>
          <x:t xml:space="preserve">Shared modalities</x:t>
        </x:is>
      </x:c>
      <x:c r="D31" t="e">
        <x:f>Overlap_Matrix!H12</x:f>
      </x:c>
      <x:c r="E31" t="e">
        <x:f>Overlap_Matrix!I12</x:f>
      </x:c>
      <x:c r="F31" t="n">
        <x:f>Overlap_Matrix!C12</x:f>
        <x:v>0</x:v>
      </x:c>
      <x:c r="G31" t="n">
        <x:f>Overlap_Matrix!D12</x:f>
        <x:v>2</x:v>
      </x:c>
      <x:c r="H31" t="str">
        <x:f>Overlap_Matrix!N12</x:f>
        <x:v>BMS-led fit</x:v>
      </x:c>
    </x:row>
    <x:row r="32">
      <x:c r="A32" t="str">
        <x:f>Overlap_Matrix!A12</x:f>
        <x:v>Neuroscience</x:v>
      </x:c>
      <x:c r="B32" t="str">
        <x:f>Overlap_Matrix!B12</x:f>
        <x:v>Neuroscience</x:v>
      </x:c>
      <x:c r="C32" t="inlineStr">
        <x:is>
          <x:t xml:space="preserve">Shared target / mechanism</x:t>
        </x:is>
      </x:c>
      <x:c r="D32" t="e">
        <x:f>Overlap_Matrix!J12</x:f>
      </x:c>
      <x:c r="E32" t="e">
        <x:f>Overlap_Matrix!K12</x:f>
      </x:c>
      <x:c r="F32" t="n">
        <x:f>Overlap_Matrix!C12</x:f>
        <x:v>0</x:v>
      </x:c>
      <x:c r="G32" t="n">
        <x:f>Overlap_Matrix!D12</x:f>
        <x:v>2</x:v>
      </x:c>
      <x:c r="H32" t="str">
        <x:f>Overlap_Matrix!N12</x:f>
        <x:v>BMS-led fit</x:v>
      </x:c>
    </x:row>
    <x:row r="33">
      <x:c r="A33" t="str">
        <x:f>Overlap_Matrix!A12</x:f>
        <x:v>Neuroscience</x:v>
      </x:c>
      <x:c r="B33" t="str">
        <x:f>Overlap_Matrix!B12</x:f>
        <x:v>Neuroscience</x:v>
      </x:c>
      <x:c r="C33" t="inlineStr">
        <x:is>
          <x:t xml:space="preserve">Stage alignment</x:t>
        </x:is>
      </x:c>
      <x:c r="D33" t="e">
        <x:f>Overlap_Matrix!L12</x:f>
      </x:c>
      <x:c r="E33" t="e">
        <x:f>Overlap_Matrix!M12</x:f>
      </x:c>
      <x:c r="F33" t="n">
        <x:f>Overlap_Matrix!C12</x:f>
        <x:v>0</x:v>
      </x:c>
      <x:c r="G33" t="n">
        <x:f>Overlap_Matrix!D12</x:f>
        <x:v>2</x:v>
      </x:c>
      <x:c r="H33" t="str">
        <x:f>Overlap_Matrix!N12</x:f>
        <x:v>BMS-led fit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7" customWidth="1"/>
    <x:col min="2" max="2" width="22" customWidth="1"/>
    <x:col min="3" max="3" width="25" customWidth="1"/>
    <x:col min="4" max="4" width="34" customWidth="1"/>
  </x:cols>
  <x:sheetData>
    <x:row r="1">
      <x:c r="A1" s="41" t="inlineStr">
        <x:is>
          <x:t xml:space="preserve">Visual settings and encoding</x:t>
        </x:is>
      </x:c>
    </x:row>
    <x:row r="3">
      <x:c r="A3" s="42" t="inlineStr">
        <x:is>
          <x:t xml:space="preserve">Element</x:t>
        </x:is>
      </x:c>
      <x:c r="B3" s="42" t="inlineStr">
        <x:is>
          <x:t xml:space="preserve">Hex</x:t>
        </x:is>
      </x:c>
      <x:c r="C3" s="42" t="inlineStr">
        <x:is>
          <x:t xml:space="preserve">Use</x:t>
        </x:is>
      </x:c>
      <x:c r="D3" s="42" t="inlineStr">
        <x:is>
          <x:t xml:space="preserve">Notes</x:t>
        </x:is>
      </x:c>
    </x:row>
    <x:row r="4">
      <x:c r="A4" s="43" t="inlineStr">
        <x:is>
          <x:t xml:space="preserve">AstraZeneca primary</x:t>
        </x:is>
      </x:c>
      <x:c r="B4" s="44" t="inlineStr">
        <x:is>
          <x:t xml:space="preserve">#7A1F63</x:t>
        </x:is>
      </x:c>
      <x:c r="C4" s="43" t="inlineStr">
        <x:is>
          <x:t xml:space="preserve">Stacked bar</x:t>
        </x:is>
      </x:c>
      <x:c r="D4" s="43" t="inlineStr">
        <x:is>
          <x:t xml:space="preserve">Logo-inspired plum</x:t>
        </x:is>
      </x:c>
    </x:row>
    <x:row r="5">
      <x:c r="A5" s="43" t="inlineStr">
        <x:is>
          <x:t xml:space="preserve">AstraZeneca accent</x:t>
        </x:is>
      </x:c>
      <x:c r="B5" s="45" t="inlineStr">
        <x:is>
          <x:t xml:space="preserve">#D7A900</x:t>
        </x:is>
      </x:c>
      <x:c r="C5" s="43" t="inlineStr">
        <x:is>
          <x:t xml:space="preserve">Thin bar/legend accent</x:t>
        </x:is>
      </x:c>
      <x:c r="D5" s="43" t="inlineStr">
        <x:is>
          <x:t xml:space="preserve">Logo-inspired gold</x:t>
        </x:is>
      </x:c>
    </x:row>
    <x:row r="6">
      <x:c r="A6" s="43" t="inlineStr">
        <x:is>
          <x:t xml:space="preserve">BMS primary</x:t>
        </x:is>
      </x:c>
      <x:c r="B6" s="46" t="inlineStr">
        <x:is>
          <x:t xml:space="preserve">#263B73</x:t>
        </x:is>
      </x:c>
      <x:c r="C6" s="43" t="inlineStr">
        <x:is>
          <x:t xml:space="preserve">Stacked bar</x:t>
        </x:is>
      </x:c>
      <x:c r="D6" s="43" t="inlineStr">
        <x:is>
          <x:t xml:space="preserve">Logo-inspired navy</x:t>
        </x:is>
      </x:c>
    </x:row>
    <x:row r="7">
      <x:c r="A7" s="43" t="inlineStr">
        <x:is>
          <x:t xml:space="preserve">BMS accent</x:t>
        </x:is>
      </x:c>
      <x:c r="B7" s="47" t="inlineStr">
        <x:is>
          <x:t xml:space="preserve">#76519A</x:t>
        </x:is>
      </x:c>
      <x:c r="C7" s="43" t="inlineStr">
        <x:is>
          <x:t xml:space="preserve">Thin bar/legend accent</x:t>
        </x:is>
      </x:c>
      <x:c r="D7" s="43" t="inlineStr">
        <x:is>
          <x:t xml:space="preserve">Hand-mark-inspired violet</x:t>
        </x:is>
      </x:c>
    </x:row>
    <x:row r="8">
      <x:c r="A8" s="43" t="inlineStr">
        <x:is>
          <x:t xml:space="preserve">Overlap - limited</x:t>
        </x:is>
      </x:c>
      <x:c r="B8" s="48" t="inlineStr">
        <x:is>
          <x:t xml:space="preserve">#F7D3D0</x:t>
        </x:is>
      </x:c>
      <x:c r="C8" s="43" t="inlineStr">
        <x:is>
          <x:t xml:space="preserve">Bubble fill</x:t>
        </x:is>
      </x:c>
      <x:c r="D8" s="43" t="inlineStr">
        <x:is>
          <x:t xml:space="preserve">Low directness</x:t>
        </x:is>
      </x:c>
    </x:row>
    <x:row r="9">
      <x:c r="A9" s="43" t="inlineStr">
        <x:is>
          <x:t xml:space="preserve">Overlap - moderate</x:t>
        </x:is>
      </x:c>
      <x:c r="B9" s="49" t="inlineStr">
        <x:is>
          <x:t xml:space="preserve">#ED756D</x:t>
        </x:is>
      </x:c>
      <x:c r="C9" s="43" t="inlineStr">
        <x:is>
          <x:t xml:space="preserve">Bubble fill</x:t>
        </x:is>
      </x:c>
      <x:c r="D9" s="43" t="inlineStr">
        <x:is>
          <x:t xml:space="preserve">Medium directness</x:t>
        </x:is>
      </x:c>
    </x:row>
    <x:row r="10">
      <x:c r="A10" s="43" t="inlineStr">
        <x:is>
          <x:t xml:space="preserve">Overlap - strong</x:t>
        </x:is>
      </x:c>
      <x:c r="B10" s="50" t="inlineStr">
        <x:is>
          <x:t xml:space="preserve">#C51F36</x:t>
        </x:is>
      </x:c>
      <x:c r="C10" s="43" t="inlineStr">
        <x:is>
          <x:t xml:space="preserve">Bubble fill</x:t>
        </x:is>
      </x:c>
      <x:c r="D10" s="43" t="inlineStr">
        <x:is>
          <x:t xml:space="preserve">High directness</x:t>
        </x:is>
      </x:c>
    </x:row>
    <x:row r="11">
      <x:c r="A11" s="43" t="inlineStr">
        <x:is>
          <x:t xml:space="preserve">Bubble outline</x:t>
        </x:is>
      </x:c>
      <x:c r="B11" s="51" t="inlineStr">
        <x:is>
          <x:t xml:space="preserve">#8E1829</x:t>
        </x:is>
      </x:c>
      <x:c r="C11" s="43" t="inlineStr">
        <x:is>
          <x:t xml:space="preserve">Bubble border</x:t>
        </x:is>
      </x:c>
      <x:c r="D11" s="43" t="inlineStr">
        <x:is>
          <x:t xml:space="preserve">Consistent red boundary</x:t>
        </x:is>
      </x:c>
    </x:row>
    <x:row r="12">
      <x:c r="A12" s="43" t="inlineStr">
        <x:is>
          <x:t xml:space="preserve">Page background</x:t>
        </x:is>
      </x:c>
      <x:c r="B12" s="52" t="inlineStr">
        <x:is>
          <x:t xml:space="preserve">#F4F1EC</x:t>
        </x:is>
      </x:c>
      <x:c r="C12" s="43" t="inlineStr">
        <x:is>
          <x:t xml:space="preserve">Canvas</x:t>
        </x:is>
      </x:c>
      <x:c r="D12" s="43" t="inlineStr">
        <x:is>
          <x:t xml:space="preserve">Warm neutral</x:t>
        </x:is>
      </x:c>
    </x:row>
    <x:row r="13">
      <x:c r="A13" s="43" t="inlineStr">
        <x:is>
          <x:t xml:space="preserve">Card background</x:t>
        </x:is>
      </x:c>
      <x:c r="B13" s="53" t="inlineStr">
        <x:is>
          <x:t xml:space="preserve">#FFFFFF</x:t>
        </x:is>
      </x:c>
      <x:c r="C13" s="43" t="inlineStr">
        <x:is>
          <x:t xml:space="preserve">Main panel</x:t>
        </x:is>
      </x:c>
      <x:c r="D13" s="43" t="inlineStr">
        <x:is>
          <x:t xml:space="preserve">White</x:t>
        </x:is>
      </x:c>
    </x:row>
    <x:row r="14">
      <x:c r="A14" s="43" t="inlineStr">
        <x:is>
          <x:t xml:space="preserve">Primary text</x:t>
        </x:is>
      </x:c>
      <x:c r="B14" s="54" t="inlineStr">
        <x:is>
          <x:t xml:space="preserve">#182230</x:t>
        </x:is>
      </x:c>
      <x:c r="C14" s="43" t="inlineStr">
        <x:is>
          <x:t xml:space="preserve">Text</x:t>
        </x:is>
      </x:c>
      <x:c r="D14" s="43" t="inlineStr">
        <x:is>
          <x:t xml:space="preserve">Dark ink</x:t>
        </x:is>
      </x:c>
    </x:row>
    <x:row r="17">
      <x:c r="A17" s="39" t="inlineStr">
        <x:is>
          <x:t xml:space="preserve">Encoding definitions</x:t>
        </x:is>
      </x:c>
    </x:row>
    <x:row r="18" ht="30" customHeight="1">
      <x:c r="A18" s="55" t="inlineStr">
        <x:is>
          <x:t xml:space="preserve">Stacked-bar height</x:t>
        </x:is>
      </x:c>
      <x:c r="B18" s="40" t="inlineStr">
        <x:is>
          <x:t xml:space="preserve">Number of unique late-stage programs by company and disease area</x:t>
        </x:is>
      </x:c>
    </x:row>
    <x:row r="19" ht="30" customHeight="1">
      <x:c r="A19" s="55" t="inlineStr">
        <x:is>
          <x:t xml:space="preserve">Bubble label + size</x:t>
        </x:is>
      </x:c>
      <x:c r="B19" s="40" t="inlineStr">
        <x:is>
          <x:t xml:space="preserve">Number of distinct shared overlap units in the corresponding disease area and portfolio dimension</x:t>
        </x:is>
      </x:c>
    </x:row>
    <x:row r="20" ht="30" customHeight="1">
      <x:c r="A20" s="55" t="inlineStr">
        <x:is>
          <x:t xml:space="preserve">Bubble red tone</x:t>
        </x:is>
      </x:c>
      <x:c r="B20" s="40" t="inlineStr">
        <x:is>
          <x:t xml:space="preserve">Analyst-coded directness: 1 limited, 2 moderate, 3 strong</x:t>
        </x:is>
      </x:c>
    </x:row>
    <x:row r="21" ht="30" customHeight="1">
      <x:c r="A21" s="55" t="inlineStr">
        <x:is>
          <x:t xml:space="preserve">Hollow circle</x:t>
        </x:is>
      </x:c>
      <x:c r="B21" s="40" t="inlineStr">
        <x:is>
          <x:t xml:space="preserve">No identified overlap unit under the current normalization</x:t>
        </x:is>
      </x:c>
    </x:row>
  </x:sheetData>
  <x:mergeCells>
    <x:mergeCell ref="A1:D1"/>
    <x:mergeCell ref="A17:D17"/>
    <x:mergeCell ref="B19:D19"/>
    <x:mergeCell ref="B18:D18"/>
    <x:mergeCell ref="B21:D21"/>
    <x:mergeCell ref="B20:D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34" customWidth="1"/>
    <x:col min="2" max="2" width="16" customWidth="1"/>
    <x:col min="3" max="3" width="22" customWidth="1"/>
    <x:col min="4" max="4" width="12" customWidth="1"/>
    <x:col min="5" max="5" width="22" customWidth="1"/>
    <x:col min="6" max="6" width="15" customWidth="1"/>
  </x:cols>
  <x:sheetData>
    <x:row r="1">
      <x:c r="A1" s="12" t="inlineStr">
        <x:is>
          <x:t xml:space="preserve">Portfolio summary (formula-driven)</x:t>
        </x:is>
      </x:c>
    </x:row>
    <x:row r="3">
      <x:c r="A3" s="13" t="inlineStr">
        <x:is>
          <x:t xml:space="preserve">Normalized area</x:t>
        </x:is>
      </x:c>
      <x:c r="B3" s="13" t="inlineStr">
        <x:is>
          <x:t xml:space="preserve">AstraZeneca</x:t>
        </x:is>
      </x:c>
      <x:c r="C3" s="13" t="inlineStr">
        <x:is>
          <x:t xml:space="preserve">Bristol Myers Squibb</x:t>
        </x:is>
      </x:c>
      <x:c r="D3" s="13" t="inlineStr">
        <x:is>
          <x:t xml:space="preserve">Combined</x:t>
        </x:is>
      </x:c>
      <x:c r="E3" s="13" t="inlineStr">
        <x:is>
          <x:t xml:space="preserve">Portfolio relationship</x:t>
        </x:is>
      </x:c>
    </x:row>
    <x:row r="4">
      <x:c r="A4" s="14" t="inlineStr">
        <x:is>
          <x:t xml:space="preserve">Solid-tumor oncology</x:t>
        </x:is>
      </x:c>
      <x:c r="B4" s="15" t="n">
        <x:f>COUNTIFS(Asset_Data!$A:$A,"AstraZeneca",Asset_Data!$C:$C,$A4)</x:f>
        <x:v>11</x:v>
      </x:c>
      <x:c r="C4" s="15" t="n">
        <x:f>COUNTIFS(Asset_Data!$A:$A,"Bristol Myers Squibb",Asset_Data!$C:$C,$A4)</x:f>
        <x:v>7</x:v>
      </x:c>
      <x:c r="D4" s="16" t="n">
        <x:f>SUM(B4:C4)</x:f>
        <x:v>18</x:v>
      </x:c>
      <x:c r="E4" s="15" t="str">
        <x:f>IF(AND(B4&gt;0,C4&gt;0),"Shared territory","One-sided strength")</x:f>
        <x:v>Shared territory</x:v>
      </x:c>
    </x:row>
    <x:row r="5">
      <x:c r="A5" t="inlineStr">
        <x:is>
          <x:t xml:space="preserve">Immunology, respiratory &amp; fibrosis</x:t>
        </x:is>
      </x:c>
      <x:c r="B5" s="18" t="n">
        <x:f>COUNTIFS(Asset_Data!$A:$A,"AstraZeneca",Asset_Data!$C:$C,$A5)</x:f>
        <x:v>7</x:v>
      </x:c>
      <x:c r="C5" s="18" t="n">
        <x:f>COUNTIFS(Asset_Data!$A:$A,"Bristol Myers Squibb",Asset_Data!$C:$C,$A5)</x:f>
        <x:v>3</x:v>
      </x:c>
      <x:c r="D5" s="19" t="n">
        <x:f>SUM(B5:C5)</x:f>
        <x:v>10</x:v>
      </x:c>
      <x:c r="E5" s="18" t="str">
        <x:f>IF(AND(B5&gt;0,C5&gt;0),"Shared territory","One-sided strength")</x:f>
        <x:v>Shared territory</x:v>
      </x:c>
    </x:row>
    <x:row r="6">
      <x:c r="A6" s="14" t="inlineStr">
        <x:is>
          <x:t xml:space="preserve">Hematology</x:t>
        </x:is>
      </x:c>
      <x:c r="B6" s="15" t="n">
        <x:f>COUNTIFS(Asset_Data!$A:$A,"AstraZeneca",Asset_Data!$C:$C,$A6)</x:f>
        <x:v>4</x:v>
      </x:c>
      <x:c r="C6" s="15" t="n">
        <x:f>COUNTIFS(Asset_Data!$A:$A,"Bristol Myers Squibb",Asset_Data!$C:$C,$A6)</x:f>
        <x:v>4</x:v>
      </x:c>
      <x:c r="D6" s="16" t="n">
        <x:f>SUM(B6:C6)</x:f>
        <x:v>8</x:v>
      </x:c>
      <x:c r="E6" s="15" t="str">
        <x:f>IF(AND(B6&gt;0,C6&gt;0),"Shared territory","One-sided strength")</x:f>
        <x:v>Shared territory</x:v>
      </x:c>
    </x:row>
    <x:row r="7">
      <x:c r="A7" t="inlineStr">
        <x:is>
          <x:t xml:space="preserve">Cardiovascular</x:t>
        </x:is>
      </x:c>
      <x:c r="B7" s="18" t="n">
        <x:f>COUNTIFS(Asset_Data!$A:$A,"AstraZeneca",Asset_Data!$C:$C,$A7)</x:f>
        <x:v>3</x:v>
      </x:c>
      <x:c r="C7" s="18" t="n">
        <x:f>COUNTIFS(Asset_Data!$A:$A,"Bristol Myers Squibb",Asset_Data!$C:$C,$A7)</x:f>
        <x:v>2</x:v>
      </x:c>
      <x:c r="D7" s="19" t="n">
        <x:f>SUM(B7:C7)</x:f>
        <x:v>5</x:v>
      </x:c>
      <x:c r="E7" s="18" t="str">
        <x:f>IF(AND(B7&gt;0,C7&gt;0),"Shared territory","One-sided strength")</x:f>
        <x:v>Shared territory</x:v>
      </x:c>
    </x:row>
    <x:row r="8">
      <x:c r="A8" s="14" t="inlineStr">
        <x:is>
          <x:t xml:space="preserve">Rare disease</x:t>
        </x:is>
      </x:c>
      <x:c r="B8" s="15" t="n">
        <x:f>COUNTIFS(Asset_Data!$A:$A,"AstraZeneca",Asset_Data!$C:$C,$A8)</x:f>
        <x:v>9</x:v>
      </x:c>
      <x:c r="C8" s="15" t="n">
        <x:f>COUNTIFS(Asset_Data!$A:$A,"Bristol Myers Squibb",Asset_Data!$C:$C,$A8)</x:f>
        <x:v>0</x:v>
      </x:c>
      <x:c r="D8" s="16" t="n">
        <x:f>SUM(B8:C8)</x:f>
        <x:v>9</x:v>
      </x:c>
      <x:c r="E8" s="15" t="str">
        <x:f>IF(AND(B8&gt;0,C8&gt;0),"Shared territory","One-sided strength")</x:f>
        <x:v>One-sided strength</x:v>
      </x:c>
    </x:row>
    <x:row r="9">
      <x:c r="A9" t="inlineStr">
        <x:is>
          <x:t xml:space="preserve">Renal &amp; metabolic</x:t>
        </x:is>
      </x:c>
      <x:c r="B9" s="18" t="n">
        <x:f>COUNTIFS(Asset_Data!$A:$A,"AstraZeneca",Asset_Data!$C:$C,$A9)</x:f>
        <x:v>7</x:v>
      </x:c>
      <x:c r="C9" s="18" t="n">
        <x:f>COUNTIFS(Asset_Data!$A:$A,"Bristol Myers Squibb",Asset_Data!$C:$C,$A9)</x:f>
        <x:v>0</x:v>
      </x:c>
      <x:c r="D9" s="19" t="n">
        <x:f>SUM(B9:C9)</x:f>
        <x:v>7</x:v>
      </x:c>
      <x:c r="E9" s="18" t="str">
        <x:f>IF(AND(B9&gt;0,C9&gt;0),"Shared territory","One-sided strength")</x:f>
        <x:v>One-sided strength</x:v>
      </x:c>
    </x:row>
    <x:row r="10">
      <x:c r="A10" s="14" t="inlineStr">
        <x:is>
          <x:t xml:space="preserve">Infectious disease</x:t>
        </x:is>
      </x:c>
      <x:c r="B10" s="15" t="n">
        <x:f>COUNTIFS(Asset_Data!$A:$A,"AstraZeneca",Asset_Data!$C:$C,$A10)</x:f>
        <x:v>3</x:v>
      </x:c>
      <x:c r="C10" s="15" t="n">
        <x:f>COUNTIFS(Asset_Data!$A:$A,"Bristol Myers Squibb",Asset_Data!$C:$C,$A10)</x:f>
        <x:v>0</x:v>
      </x:c>
      <x:c r="D10" s="16" t="n">
        <x:f>SUM(B10:C10)</x:f>
        <x:v>3</x:v>
      </x:c>
      <x:c r="E10" s="15" t="str">
        <x:f>IF(AND(B10&gt;0,C10&gt;0),"Shared territory","One-sided strength")</x:f>
        <x:v>One-sided strength</x:v>
      </x:c>
    </x:row>
    <x:row r="11">
      <x:c r="A11" t="inlineStr">
        <x:is>
          <x:t xml:space="preserve">Neuroscience</x:t>
        </x:is>
      </x:c>
      <x:c r="B11" s="18" t="n">
        <x:f>COUNTIFS(Asset_Data!$A:$A,"AstraZeneca",Asset_Data!$C:$C,$A11)</x:f>
        <x:v>0</x:v>
      </x:c>
      <x:c r="C11" s="18" t="n">
        <x:f>COUNTIFS(Asset_Data!$A:$A,"Bristol Myers Squibb",Asset_Data!$C:$C,$A11)</x:f>
        <x:v>2</x:v>
      </x:c>
      <x:c r="D11" s="19" t="n">
        <x:f>SUM(B11:C11)</x:f>
        <x:v>2</x:v>
      </x:c>
      <x:c r="E11" s="18" t="str">
        <x:f>IF(AND(B11&gt;0,C11&gt;0),"Shared territory","One-sided strength")</x:f>
        <x:v>One-sided strength</x:v>
      </x:c>
    </x:row>
    <x:row r="12">
      <x:c r="A12" s="21" t="inlineStr">
        <x:is>
          <x:t xml:space="preserve">Total</x:t>
        </x:is>
      </x:c>
      <x:c r="B12" s="21" t="n">
        <x:f>SUM(B4:B11)</x:f>
        <x:v>44</x:v>
      </x:c>
      <x:c r="C12" s="21" t="n">
        <x:f>SUM(C4:C11)</x:f>
        <x:v>18</x:v>
      </x:c>
      <x:c r="D12" s="21" t="n">
        <x:f>SUM(D4:D11)</x:f>
        <x:v>62</x:v>
      </x:c>
    </x:row>
  </x:sheetData>
  <x:pageMargins left="0.7" right="0.7" top="0.75" bottom="0.75" header="0.3" footer="0.3"/>
  <x:drawing xmlns:r="http://schemas.openxmlformats.org/officeDocument/2006/relationships" r:id="R325d01108b574a85"/>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105" customWidth="1"/>
  </x:cols>
  <x:sheetData>
    <x:row r="1">
      <x:c r="A1" s="12" t="inlineStr">
        <x:is>
          <x:t xml:space="preserve">LinkedIn post draft</x:t>
        </x:is>
      </x:c>
    </x:row>
    <x:row r="3" ht="520" customHeight="1">
      <x:c r="A3" s="22" t="inlineStr">
        <x:is>
          <x:t xml:space="preserve">The AstraZeneca–BMS rumor appears to be off the table. But the portfolio thought experiment is still interesting.
I mapped the companies’ Phase II/III investigational portfolios using matched February 2026 company disclosures.
The result looks less like a simple “R&amp;D machine” and more like a mix of portfolio fit and collision.
The collision zone is oncology.
Across the mapped portfolio, the two companies have 18 solid-tumor programs and 8 hematology programs. Both are active in immuno-oncology and lung cancer, while the broader pipelines span ADCs, bispecifics, radiopharmaceuticals, cell therapy and targeted protein degradation.
The complementarity is mostly outside oncology.
AstraZeneca contributes much more breadth in rare disease, renal/metabolic disease and infectious disease. BMS adds a distinct neuroscience position, while both companies also overlap in immunology/respiratory/fibrosis and cardiovascular disease.
The real integration question would not be whether the combined company had enough assets. It would be which programs, platforms, teams and partnerships would survive portfolio prioritization.
More breadth creates more optionality—but also more duplication and harder choices.
My takeaway: the strategic value would depend less on adding the two pipelines together, and more on how aggressively management rationalized the overlap without disrupting the science that created it.
What would you scrutinize first: portfolio overlap, patent cliffs or integration risk?
Data note: unique lead investigational assets/programs in Phase II or III/pivotal/registration; matched AstraZeneca (Feb. 10, 2026) and BMS (Feb. 5, 2026) disclosures; approved-indication expansions and significant life-cycle-management programs excluded.</x:t>
        </x:is>
      </x:c>
    </x:row>
    <x:row r="5">
      <x:c r="A5" s="2" t="inlineStr">
        <x:is>
          <x:t xml:space="preserve">Optional shorter opening</x:t>
        </x:is>
      </x:c>
    </x:row>
    <x:row r="6">
      <x:c r="A6" s="23" t="inlineStr">
        <x:is>
          <x:t xml:space="preserve">The rumor may be dead. The portfolio question is not: would AstraZeneca + BMS create strategic fit—or force a wave of R&amp;D rationalization?</x:t>
        </x:is>
      </x:c>
    </x:row>
    <x:row r="8">
      <x:c r="A8" s="2" t="inlineStr">
        <x:is>
          <x:t xml:space="preserve">Suggested hashtags</x:t>
        </x:is>
      </x:c>
    </x:row>
    <x:row r="9">
      <x:c r="A9" t="inlineStr">
        <x:is>
          <x:t xml:space="preserve">#Pharma #Biotech #DrugDevelopment #Oncology #Strategy #MergersAndAcquisitions</x:t>
        </x:is>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35" customWidth="1"/>
    <x:col min="2" max="2" width="16" customWidth="1"/>
    <x:col min="3" max="3" width="55" customWidth="1"/>
    <x:col min="4" max="4" width="90" customWidth="1"/>
  </x:cols>
  <x:sheetData>
    <x:row r="1">
      <x:c r="A1" s="2" t="inlineStr">
        <x:is>
          <x:t xml:space="preserve">Source</x:t>
        </x:is>
      </x:c>
      <x:c r="B1" s="2" t="inlineStr">
        <x:is>
          <x:t xml:space="preserve">Date</x:t>
        </x:is>
      </x:c>
      <x:c r="C1" s="2" t="inlineStr">
        <x:is>
          <x:t xml:space="preserve">Use</x:t>
        </x:is>
      </x:c>
      <x:c r="D1" s="2" t="inlineStr">
        <x:is>
          <x:t xml:space="preserve">URL</x:t>
        </x:is>
      </x:c>
    </x:row>
    <x:row r="2" ht="42" customHeight="1">
      <x:c r="A2" s="10" t="inlineStr">
        <x:is>
          <x:t xml:space="preserve">AstraZeneca development pipeline</x:t>
        </x:is>
      </x:c>
      <x:c r="B2" s="10" t="inlineStr">
        <x:is>
          <x:t xml:space="preserve">10 Feb 2026</x:t>
        </x:is>
      </x:c>
      <x:c r="C2" s="10" t="inlineStr">
        <x:is>
          <x:t xml:space="preserve">Primary data for AstraZeneca Phase II and Phase III/pivotal/registration assets</x:t>
        </x:is>
      </x:c>
      <x:c r="D2" s="9" t="inlineStr">
        <x:is>
          <x:t xml:space="preserve">https://www.astrazeneca.com/content/dam/az/Investor_Relations/annual-report-2025/pdf/AstraZeneca_Development_Pipeline_2025.pdf</x:t>
        </x:is>
      </x:c>
    </x:row>
    <x:row r="3" ht="42" customHeight="1">
      <x:c r="A3" s="10" t="inlineStr">
        <x:is>
          <x:t xml:space="preserve">BMS development portfolio</x:t>
        </x:is>
      </x:c>
      <x:c r="B3" s="10" t="inlineStr">
        <x:is>
          <x:t xml:space="preserve">5 Feb 2026</x:t>
        </x:is>
      </x:c>
      <x:c r="C3" s="10" t="inlineStr">
        <x:is>
          <x:t xml:space="preserve">Primary data for BMS Phase II and Phase III investigational compounds</x:t>
        </x:is>
      </x:c>
      <x:c r="D3" s="9" t="inlineStr">
        <x:is>
          <x:t xml:space="preserve">https://annual-report.bms.com/assets/bms-ar/documents/2025/2025-bms-development-portfolio.pdf</x:t>
        </x:is>
      </x:c>
    </x:row>
    <x:row r="4" ht="42" customHeight="1">
      <x:c r="A4" s="10" t="inlineStr">
        <x:is>
          <x:t xml:space="preserve">AstraZeneca current pipeline page</x:t>
        </x:is>
      </x:c>
      <x:c r="B4" s="10" t="inlineStr">
        <x:is>
          <x:t xml:space="preserve">27 Jul 2026</x:t>
        </x:is>
      </x:c>
      <x:c r="C4" s="10" t="inlineStr">
        <x:is>
          <x:t xml:space="preserve">Current context; not used for matched-snapshot counts</x:t>
        </x:is>
      </x:c>
      <x:c r="D4" s="9" t="inlineStr">
        <x:is>
          <x:t xml:space="preserve">https://www.astrazeneca.com/our-therapy-areas/pipeline.html</x:t>
        </x:is>
      </x:c>
    </x:row>
    <x:row r="5" ht="42" customHeight="1">
      <x:c r="A5" s="10" t="inlineStr">
        <x:is>
          <x:t xml:space="preserve">BMS current pipeline page</x:t>
        </x:is>
      </x:c>
      <x:c r="B5" s="10" t="inlineStr">
        <x:is>
          <x:t xml:space="preserve">30 Jul 2026</x:t>
        </x:is>
      </x:c>
      <x:c r="C5" s="10" t="inlineStr">
        <x:is>
          <x:t xml:space="preserve">Current context; not used for matched-snapshot counts</x:t>
        </x:is>
      </x:c>
      <x:c r="D5" s="9" t="inlineStr">
        <x:is>
          <x:t xml:space="preserve">https://www.bms.com/research-and-development/pipeline.html</x:t>
        </x:is>
      </x:c>
    </x:row>
    <x:row r="6" ht="42" customHeight="1">
      <x:c r="A6" s="10" t="inlineStr">
        <x:is>
          <x:t xml:space="preserve">Reuters report on deal discussions</x:t>
        </x:is>
      </x:c>
      <x:c r="B6" s="10" t="inlineStr">
        <x:is>
          <x:t xml:space="preserve">5 Aug 2026</x:t>
        </x:is>
      </x:c>
      <x:c r="C6" s="10" t="inlineStr">
        <x:is>
          <x:t xml:space="preserve">Current-event caveat for post framing</x:t>
        </x:is>
      </x:c>
      <x:c r="D6" s="9" t="inlineStr">
        <x:is>
          <x:t xml:space="preserve">https://www.reuters.com/business/healthcare-pharmaceuticals/no-discussions-over-astrazeneca-bristol-myers-deal-senior-source-says-2026-08-05/</x:t>
        </x:is>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118" customWidth="1"/>
  </x:cols>
  <x:sheetData>
    <x:row r="1" ht="25" customHeight="1">
      <x:c r="A1" s="41" t="inlineStr">
        <x:is>
          <x:t xml:space="preserve">LinkedIn infographic - stacked footprint + count-based lollipop matrix</x:t>
        </x:is>
      </x:c>
    </x:row>
    <x:row r="2" ht="22" customHeight="1">
      <x:c r="A2" s="56" t="inlineStr">
        <x:is>
          <x:t xml:space="preserve">Bars use logo-inspired company colors; bubbles use a red directness scale.</x:t>
        </x:is>
      </x:c>
    </x:row>
    <x:row r="3" ht="20" customHeight="1"/>
    <x:row r="4" ht="20" customHeight="1"/>
    <x:row r="5" ht="20" customHeight="1"/>
    <x:row r="6" ht="20" customHeight="1"/>
    <x:row r="7" ht="20" customHeight="1"/>
    <x:row r="8" ht="20" customHeight="1"/>
    <x:row r="9" ht="20" customHeight="1"/>
    <x:row r="10" ht="20" customHeight="1"/>
    <x:row r="11" ht="20" customHeight="1"/>
    <x:row r="12" ht="20" customHeight="1"/>
    <x:row r="13" ht="20" customHeight="1"/>
    <x:row r="14" ht="20" customHeight="1"/>
    <x:row r="15" ht="20" customHeight="1"/>
    <x:row r="16" ht="20" customHeight="1"/>
    <x:row r="17" ht="20" customHeight="1"/>
    <x:row r="18" ht="20" customHeight="1"/>
    <x:row r="19" ht="20" customHeight="1"/>
    <x:row r="20" ht="20" customHeight="1"/>
    <x:row r="21" ht="20" customHeight="1"/>
    <x:row r="22" ht="20" customHeight="1"/>
    <x:row r="23" ht="20" customHeight="1"/>
    <x:row r="24" ht="20" customHeight="1"/>
    <x:row r="25" ht="20" customHeight="1"/>
    <x:row r="26" ht="20" customHeight="1"/>
    <x:row r="27" ht="20" customHeight="1"/>
    <x:row r="28" ht="20" customHeight="1"/>
    <x:row r="29" ht="20" customHeight="1"/>
    <x:row r="30" ht="20" customHeight="1"/>
    <x:row r="31" ht="20" customHeight="1"/>
    <x:row r="32" ht="20" customHeight="1"/>
    <x:row r="33" ht="20" customHeight="1"/>
    <x:row r="34" ht="20" customHeight="1"/>
    <x:row r="35" ht="20" customHeight="1"/>
    <x:row r="36" ht="20" customHeight="1"/>
    <x:row r="37" ht="20" customHeight="1"/>
    <x:row r="38" ht="20" customHeight="1"/>
    <x:row r="39" ht="20" customHeight="1"/>
    <x:row r="40" ht="20" customHeight="1"/>
    <x:row r="41" ht="20" customHeight="1"/>
    <x:row r="42" ht="20" customHeight="1"/>
    <x:row r="43" ht="20" customHeight="1"/>
    <x:row r="44" ht="20" customHeight="1"/>
    <x:row r="45" ht="20" customHeight="1"/>
    <x:row r="46" ht="20" customHeight="1"/>
    <x:row r="47" ht="20" customHeight="1"/>
    <x:row r="48" ht="20" customHeight="1"/>
    <x:row r="49" ht="20" customHeight="1"/>
    <x:row r="50" ht="20" customHeight="1"/>
    <x:row r="51" ht="20" customHeight="1"/>
    <x:row r="52" ht="20" customHeight="1"/>
    <x:row r="53" ht="20" customHeight="1"/>
    <x:row r="54" ht="20" customHeight="1"/>
    <x:row r="55" ht="20" customHeight="1"/>
    <x:row r="56" ht="20" customHeight="1"/>
    <x:row r="57" ht="20" customHeight="1"/>
    <x:row r="58" ht="20" customHeight="1"/>
    <x:row r="59" ht="20" customHeight="1"/>
  </x:sheetData>
  <x:pageMargins left="0.7" right="0.7" top="0.75" bottom="0.75" header="0.3" footer="0.3"/>
  <x:drawing xmlns:r="http://schemas.openxmlformats.org/officeDocument/2006/relationships" r:id="R67f6eca0d92e4b36"/>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25" customWidth="1"/>
    <x:col min="2" max="2" width="31" customWidth="1"/>
    <x:col min="3" max="3" width="27" customWidth="1"/>
    <x:col min="4" max="4" width="14" customWidth="1"/>
    <x:col min="5" max="5" width="10" customWidth="1"/>
    <x:col min="6" max="6" width="10" customWidth="1"/>
    <x:col min="7" max="7" width="38" customWidth="1"/>
    <x:col min="8" max="8" width="38" customWidth="1"/>
    <x:col min="9" max="9" width="22" customWidth="1"/>
    <x:col min="10" max="10" width="22" customWidth="1"/>
  </x:cols>
  <x:sheetData>
    <x:row r="1" ht="32" customHeight="1">
      <x:c r="A1" s="70" t="inlineStr">
        <x:is>
          <x:t xml:space="preserve">Fit vs collision matrix - indication territory × modality family</x:t>
        </x:is>
      </x:c>
    </x:row>
    <x:row r="2" ht="34" customHeight="1">
      <x:c r="A2" s="71" t="inlineStr">
        <x:is>
          <x:t xml:space="preserve">AZ-only and BMS-only cells indicate complementarity in the matched late-stage snapshot; overlap cells indicate both companies occupy the same normalized modality × indication territory.</x:t>
        </x:is>
      </x:c>
    </x:row>
    <x:row r="4">
      <x:c r="A4" s="62" t="inlineStr">
        <x:is>
          <x:t xml:space="preserve">Disease area</x:t>
        </x:is>
      </x:c>
      <x:c r="B4" s="62" t="inlineStr">
        <x:is>
          <x:t xml:space="preserve">Modality family</x:t>
        </x:is>
      </x:c>
      <x:c r="C4" s="62" t="inlineStr">
        <x:is>
          <x:t xml:space="preserve">Indication territory</x:t>
        </x:is>
      </x:c>
      <x:c r="D4" s="62" t="inlineStr">
        <x:is>
          <x:t xml:space="preserve">Status</x:t>
        </x:is>
      </x:c>
      <x:c r="E4" s="62" t="inlineStr">
        <x:is>
          <x:t xml:space="preserve">AZ count</x:t>
        </x:is>
      </x:c>
      <x:c r="F4" s="62" t="inlineStr">
        <x:is>
          <x:t xml:space="preserve">BMS count</x:t>
        </x:is>
      </x:c>
      <x:c r="G4" s="62" t="inlineStr">
        <x:is>
          <x:t xml:space="preserve">AZ programs</x:t>
        </x:is>
      </x:c>
      <x:c r="H4" s="62" t="inlineStr">
        <x:is>
          <x:t xml:space="preserve">BMS programs</x:t>
        </x:is>
      </x:c>
      <x:c r="I4" s="62" t="inlineStr">
        <x:is>
          <x:t xml:space="preserve">AZ source</x:t>
        </x:is>
      </x:c>
      <x:c r="J4" s="62" t="inlineStr">
        <x:is>
          <x:t xml:space="preserve">BMS source</x:t>
        </x:is>
      </x:c>
    </x:row>
    <x:row r="5">
      <x:c r="A5" s="3" t="inlineStr">
        <x:is>
          <x:t xml:space="preserve">Solid-tumor oncology</x:t>
        </x:is>
      </x:c>
      <x:c r="B5" s="3" t="inlineStr">
        <x:is>
          <x:t xml:space="preserve">Antibody-drug conjugate</x:t>
        </x:is>
      </x:c>
      <x:c r="C5" s="3" t="inlineStr">
        <x:is>
          <x:t xml:space="preserve">NSCLC</x:t>
        </x:is>
      </x:c>
      <x:c r="D5" s="72" t="inlineStr">
        <x:is>
          <x:t xml:space="preserve">bms-only</x:t>
        </x:is>
      </x:c>
      <x:c r="E5" s="3" t="n">
        <x:v>0</x:v>
      </x:c>
      <x:c r="F5" s="3" t="n">
        <x:v>1</x:v>
      </x:c>
      <x:c r="G5" s="3" t="inlineStr">
        <x:is>
          <x:t xml:space="preserve"/>
        </x:is>
      </x:c>
      <x:c r="H5" s="3" t="inlineStr">
        <x:is>
          <x:t xml:space="preserve">izalontamab brengitecan (iza-bren)</x:t>
        </x:is>
      </x:c>
      <x:c r="I5" s="73" t="inlineStr">
        <x:is>
          <x:t xml:space="preserve">https://www.astrazeneca.com/content/dam/az/Investor_Relations/annual-report-2025/pdf/AstraZeneca_Development_Pipeline_2025.pdf</x:t>
        </x:is>
      </x:c>
      <x:c r="J5" s="73" t="inlineStr">
        <x:is>
          <x:t xml:space="preserve">https://annual-report.bms.com/assets/bms-ar/documents/2025/2025-bms-development-portfolio.pdf</x:t>
        </x:is>
      </x:c>
    </x:row>
    <x:row r="6">
      <x:c r="A6" s="3" t="inlineStr">
        <x:is>
          <x:t xml:space="preserve">Solid-tumor oncology</x:t>
        </x:is>
      </x:c>
      <x:c r="B6" s="3" t="inlineStr">
        <x:is>
          <x:t xml:space="preserve">Antibody-drug conjugate</x:t>
        </x:is>
      </x:c>
      <x:c r="C6" s="3" t="inlineStr">
        <x:is>
          <x:t xml:space="preserve">Breast cancer</x:t>
        </x:is>
      </x:c>
      <x:c r="D6" s="72" t="inlineStr">
        <x:is>
          <x:t xml:space="preserve">bms-only</x:t>
        </x:is>
      </x:c>
      <x:c r="E6" s="3" t="n">
        <x:v>0</x:v>
      </x:c>
      <x:c r="F6" s="3" t="n">
        <x:v>1</x:v>
      </x:c>
      <x:c r="G6" s="3" t="inlineStr">
        <x:is>
          <x:t xml:space="preserve"/>
        </x:is>
      </x:c>
      <x:c r="H6" s="3" t="inlineStr">
        <x:is>
          <x:t xml:space="preserve">izalontamab brengitecan (iza-bren)</x:t>
        </x:is>
      </x:c>
      <x:c r="I6" s="73" t="inlineStr">
        <x:is>
          <x:t xml:space="preserve">https://www.astrazeneca.com/content/dam/az/Investor_Relations/annual-report-2025/pdf/AstraZeneca_Development_Pipeline_2025.pdf</x:t>
        </x:is>
      </x:c>
      <x:c r="J6" s="73" t="inlineStr">
        <x:is>
          <x:t xml:space="preserve">https://annual-report.bms.com/assets/bms-ar/documents/2025/2025-bms-development-portfolio.pdf</x:t>
        </x:is>
      </x:c>
    </x:row>
    <x:row r="7">
      <x:c r="A7" s="3" t="inlineStr">
        <x:is>
          <x:t xml:space="preserve">Solid-tumor oncology</x:t>
        </x:is>
      </x:c>
      <x:c r="B7" s="3" t="inlineStr">
        <x:is>
          <x:t xml:space="preserve">Antibody-drug conjugate</x:t>
        </x:is>
      </x:c>
      <x:c r="C7" s="3" t="inlineStr">
        <x:is>
          <x:t xml:space="preserve">Gastric / GEJ</x:t>
        </x:is>
      </x:c>
      <x:c r="D7" s="74" t="inlineStr">
        <x:is>
          <x:t xml:space="preserve">az-only</x:t>
        </x:is>
      </x:c>
      <x:c r="E7" s="3" t="n">
        <x:v>1</x:v>
      </x:c>
      <x:c r="F7" s="3" t="n">
        <x:v>0</x:v>
      </x:c>
      <x:c r="G7" s="3" t="inlineStr">
        <x:is>
          <x:t xml:space="preserve">sonesitatug vedotin</x:t>
        </x:is>
      </x:c>
      <x:c r="H7" s="3" t="inlineStr">
        <x:is>
          <x:t xml:space="preserve"/>
        </x:is>
      </x:c>
      <x:c r="I7" s="73" t="inlineStr">
        <x:is>
          <x:t xml:space="preserve">https://www.astrazeneca.com/content/dam/az/Investor_Relations/annual-report-2025/pdf/AstraZeneca_Development_Pipeline_2025.pdf</x:t>
        </x:is>
      </x:c>
      <x:c r="J7" s="73" t="inlineStr">
        <x:is>
          <x:t xml:space="preserve">https://annual-report.bms.com/assets/bms-ar/documents/2025/2025-bms-development-portfolio.pdf</x:t>
        </x:is>
      </x:c>
    </x:row>
    <x:row r="8">
      <x:c r="A8" s="3" t="inlineStr">
        <x:is>
          <x:t xml:space="preserve">Solid-tumor oncology</x:t>
        </x:is>
      </x:c>
      <x:c r="B8" s="3" t="inlineStr">
        <x:is>
          <x:t xml:space="preserve">Antibody-drug conjugate</x:t>
        </x:is>
      </x:c>
      <x:c r="C8" s="3" t="inlineStr">
        <x:is>
          <x:t xml:space="preserve">Ovarian cancer</x:t>
        </x:is>
      </x:c>
      <x:c r="D8" s="74" t="inlineStr">
        <x:is>
          <x:t xml:space="preserve">az-only</x:t>
        </x:is>
      </x:c>
      <x:c r="E8" s="3" t="n">
        <x:v>1</x:v>
      </x:c>
      <x:c r="F8" s="3" t="n">
        <x:v>0</x:v>
      </x:c>
      <x:c r="G8" s="3" t="inlineStr">
        <x:is>
          <x:t xml:space="preserve">torvutatug samrotecan (AZD5335)</x:t>
        </x:is>
      </x:c>
      <x:c r="H8" s="3" t="inlineStr">
        <x:is>
          <x:t xml:space="preserve"/>
        </x:is>
      </x:c>
      <x:c r="I8" s="73" t="inlineStr">
        <x:is>
          <x:t xml:space="preserve">https://www.astrazeneca.com/content/dam/az/Investor_Relations/annual-report-2025/pdf/AstraZeneca_Development_Pipeline_2025.pdf</x:t>
        </x:is>
      </x:c>
      <x:c r="J8" s="73" t="inlineStr">
        <x:is>
          <x:t xml:space="preserve">https://annual-report.bms.com/assets/bms-ar/documents/2025/2025-bms-development-portfolio.pdf</x:t>
        </x:is>
      </x:c>
    </x:row>
    <x:row r="9">
      <x:c r="A9" s="3" t="inlineStr">
        <x:is>
          <x:t xml:space="preserve">Solid-tumor oncology</x:t>
        </x:is>
      </x:c>
      <x:c r="B9" s="3" t="inlineStr">
        <x:is>
          <x:t xml:space="preserve">Antibody-drug conjugate</x:t>
        </x:is>
      </x:c>
      <x:c r="C9" s="3" t="inlineStr">
        <x:is>
          <x:t xml:space="preserve">Endometrial cancer</x:t>
        </x:is>
      </x:c>
      <x:c r="D9" s="74" t="inlineStr">
        <x:is>
          <x:t xml:space="preserve">az-only</x:t>
        </x:is>
      </x:c>
      <x:c r="E9" s="3" t="n">
        <x:v>1</x:v>
      </x:c>
      <x:c r="F9" s="3" t="n">
        <x:v>0</x:v>
      </x:c>
      <x:c r="G9" s="3" t="inlineStr">
        <x:is>
          <x:t xml:space="preserve">puxitatug samrotecan</x:t>
        </x:is>
      </x:c>
      <x:c r="H9" s="3" t="inlineStr">
        <x:is>
          <x:t xml:space="preserve"/>
        </x:is>
      </x:c>
      <x:c r="I9" s="73" t="inlineStr">
        <x:is>
          <x:t xml:space="preserve">https://www.astrazeneca.com/content/dam/az/Investor_Relations/annual-report-2025/pdf/AstraZeneca_Development_Pipeline_2025.pdf</x:t>
        </x:is>
      </x:c>
      <x:c r="J9" s="73" t="inlineStr">
        <x:is>
          <x:t xml:space="preserve">https://annual-report.bms.com/assets/bms-ar/documents/2025/2025-bms-development-portfolio.pdf</x:t>
        </x:is>
      </x:c>
    </x:row>
    <x:row r="10">
      <x:c r="A10" s="3" t="inlineStr">
        <x:is>
          <x:t xml:space="preserve">Solid-tumor oncology</x:t>
        </x:is>
      </x:c>
      <x:c r="B10" s="3" t="inlineStr">
        <x:is>
          <x:t xml:space="preserve">Antibody-drug conjugate</x:t>
        </x:is>
      </x:c>
      <x:c r="C10" s="3" t="inlineStr">
        <x:is>
          <x:t xml:space="preserve">Urothelial cancer</x:t>
        </x:is>
      </x:c>
      <x:c r="D10" s="72" t="inlineStr">
        <x:is>
          <x:t xml:space="preserve">bms-only</x:t>
        </x:is>
      </x:c>
      <x:c r="E10" s="3" t="n">
        <x:v>0</x:v>
      </x:c>
      <x:c r="F10" s="3" t="n">
        <x:v>1</x:v>
      </x:c>
      <x:c r="G10" s="3" t="inlineStr">
        <x:is>
          <x:t xml:space="preserve"/>
        </x:is>
      </x:c>
      <x:c r="H10" s="3" t="inlineStr">
        <x:is>
          <x:t xml:space="preserve">izalontamab brengitecan (iza-bren)</x:t>
        </x:is>
      </x:c>
      <x:c r="I10" s="73" t="inlineStr">
        <x:is>
          <x:t xml:space="preserve">https://www.astrazeneca.com/content/dam/az/Investor_Relations/annual-report-2025/pdf/AstraZeneca_Development_Pipeline_2025.pdf</x:t>
        </x:is>
      </x:c>
      <x:c r="J10" s="73" t="inlineStr">
        <x:is>
          <x:t xml:space="preserve">https://annual-report.bms.com/assets/bms-ar/documents/2025/2025-bms-development-portfolio.pdf</x:t>
        </x:is>
      </x:c>
    </x:row>
    <x:row r="11">
      <x:c r="A11" s="3" t="inlineStr">
        <x:is>
          <x:t xml:space="preserve">Solid-tumor oncology</x:t>
        </x:is>
      </x:c>
      <x:c r="B11" s="3" t="inlineStr">
        <x:is>
          <x:t xml:space="preserve">Antibody-drug conjugate</x:t>
        </x:is>
      </x:c>
      <x:c r="C11" s="3" t="inlineStr">
        <x:is>
          <x:t xml:space="preserve">Other solid tumors</x:t>
        </x:is>
      </x:c>
      <x:c r="D11" s="74" t="inlineStr">
        <x:is>
          <x:t xml:space="preserve">az-only</x:t>
        </x:is>
      </x:c>
      <x:c r="E11" s="3" t="n">
        <x:v>4</x:v>
      </x:c>
      <x:c r="F11" s="3" t="n">
        <x:v>0</x:v>
      </x:c>
      <x:c r="G11" s="3" t="inlineStr">
        <x:is>
          <x:t xml:space="preserve">puxitatug samrotecan; sonesitatug vedotin; tilatamig samrotecan; torvutatug samrotecan (AZD5335)</x:t>
        </x:is>
      </x:c>
      <x:c r="H11" s="3" t="inlineStr">
        <x:is>
          <x:t xml:space="preserve"/>
        </x:is>
      </x:c>
      <x:c r="I11" s="73" t="inlineStr">
        <x:is>
          <x:t xml:space="preserve">https://www.astrazeneca.com/content/dam/az/Investor_Relations/annual-report-2025/pdf/AstraZeneca_Development_Pipeline_2025.pdf</x:t>
        </x:is>
      </x:c>
      <x:c r="J11" s="73" t="inlineStr">
        <x:is>
          <x:t xml:space="preserve">https://annual-report.bms.com/assets/bms-ar/documents/2025/2025-bms-development-portfolio.pdf</x:t>
        </x:is>
      </x:c>
    </x:row>
    <x:row r="12">
      <x:c r="A12" s="3" t="inlineStr">
        <x:is>
          <x:t xml:space="preserve">Solid-tumor oncology</x:t>
        </x:is>
      </x:c>
      <x:c r="B12" s="3" t="inlineStr">
        <x:is>
          <x:t xml:space="preserve">Bispecific / dual-target antibody</x:t>
        </x:is>
      </x:c>
      <x:c r="C12" s="3" t="inlineStr">
        <x:is>
          <x:t xml:space="preserve">NSCLC</x:t>
        </x:is>
      </x:c>
      <x:c r="D12" s="75" t="inlineStr">
        <x:is>
          <x:t xml:space="preserve">overlap</x:t>
        </x:is>
      </x:c>
      <x:c r="E12" s="3" t="n">
        <x:v>2</x:v>
      </x:c>
      <x:c r="F12" s="3" t="n">
        <x:v>1</x:v>
      </x:c>
      <x:c r="G12" s="3" t="inlineStr">
        <x:is>
          <x:t xml:space="preserve">rilvegostomig; volrustomig</x:t>
        </x:is>
      </x:c>
      <x:c r="H12" s="3" t="inlineStr">
        <x:is>
          <x:t xml:space="preserve">pumitamig</x:t>
        </x:is>
      </x:c>
      <x:c r="I12" s="73" t="inlineStr">
        <x:is>
          <x:t xml:space="preserve">https://www.astrazeneca.com/content/dam/az/Investor_Relations/annual-report-2025/pdf/AstraZeneca_Development_Pipeline_2025.pdf</x:t>
        </x:is>
      </x:c>
      <x:c r="J12" s="73" t="inlineStr">
        <x:is>
          <x:t xml:space="preserve">https://annual-report.bms.com/assets/bms-ar/documents/2025/2025-bms-development-portfolio.pdf</x:t>
        </x:is>
      </x:c>
    </x:row>
    <x:row r="13">
      <x:c r="A13" s="3" t="inlineStr">
        <x:is>
          <x:t xml:space="preserve">Solid-tumor oncology</x:t>
        </x:is>
      </x:c>
      <x:c r="B13" s="3" t="inlineStr">
        <x:is>
          <x:t xml:space="preserve">Bispecific / dual-target antibody</x:t>
        </x:is>
      </x:c>
      <x:c r="C13" s="3" t="inlineStr">
        <x:is>
          <x:t xml:space="preserve">SCLC</x:t>
        </x:is>
      </x:c>
      <x:c r="D13" s="72" t="inlineStr">
        <x:is>
          <x:t xml:space="preserve">bms-only</x:t>
        </x:is>
      </x:c>
      <x:c r="E13" s="3" t="n">
        <x:v>0</x:v>
      </x:c>
      <x:c r="F13" s="3" t="n">
        <x:v>1</x:v>
      </x:c>
      <x:c r="G13" s="3" t="inlineStr">
        <x:is>
          <x:t xml:space="preserve"/>
        </x:is>
      </x:c>
      <x:c r="H13" s="3" t="inlineStr">
        <x:is>
          <x:t xml:space="preserve">pumitamig</x:t>
        </x:is>
      </x:c>
      <x:c r="I13" s="73" t="inlineStr">
        <x:is>
          <x:t xml:space="preserve">https://www.astrazeneca.com/content/dam/az/Investor_Relations/annual-report-2025/pdf/AstraZeneca_Development_Pipeline_2025.pdf</x:t>
        </x:is>
      </x:c>
      <x:c r="J13" s="73" t="inlineStr">
        <x:is>
          <x:t xml:space="preserve">https://annual-report.bms.com/assets/bms-ar/documents/2025/2025-bms-development-portfolio.pdf</x:t>
        </x:is>
      </x:c>
    </x:row>
    <x:row r="14">
      <x:c r="A14" s="3" t="inlineStr">
        <x:is>
          <x:t xml:space="preserve">Solid-tumor oncology</x:t>
        </x:is>
      </x:c>
      <x:c r="B14" s="3" t="inlineStr">
        <x:is>
          <x:t xml:space="preserve">Bispecific / dual-target antibody</x:t>
        </x:is>
      </x:c>
      <x:c r="C14" s="3" t="inlineStr">
        <x:is>
          <x:t xml:space="preserve">Breast cancer</x:t>
        </x:is>
      </x:c>
      <x:c r="D14" s="72" t="inlineStr">
        <x:is>
          <x:t xml:space="preserve">bms-only</x:t>
        </x:is>
      </x:c>
      <x:c r="E14" s="3" t="n">
        <x:v>0</x:v>
      </x:c>
      <x:c r="F14" s="3" t="n">
        <x:v>1</x:v>
      </x:c>
      <x:c r="G14" s="3" t="inlineStr">
        <x:is>
          <x:t xml:space="preserve"/>
        </x:is>
      </x:c>
      <x:c r="H14" s="3" t="inlineStr">
        <x:is>
          <x:t xml:space="preserve">pumitamig</x:t>
        </x:is>
      </x:c>
      <x:c r="I14" s="73" t="inlineStr">
        <x:is>
          <x:t xml:space="preserve">https://www.astrazeneca.com/content/dam/az/Investor_Relations/annual-report-2025/pdf/AstraZeneca_Development_Pipeline_2025.pdf</x:t>
        </x:is>
      </x:c>
      <x:c r="J14" s="73" t="inlineStr">
        <x:is>
          <x:t xml:space="preserve">https://annual-report.bms.com/assets/bms-ar/documents/2025/2025-bms-development-portfolio.pdf</x:t>
        </x:is>
      </x:c>
    </x:row>
    <x:row r="15">
      <x:c r="A15" s="3" t="inlineStr">
        <x:is>
          <x:t xml:space="preserve">Solid-tumor oncology</x:t>
        </x:is>
      </x:c>
      <x:c r="B15" s="3" t="inlineStr">
        <x:is>
          <x:t xml:space="preserve">Bispecific / dual-target antibody</x:t>
        </x:is>
      </x:c>
      <x:c r="C15" s="3" t="inlineStr">
        <x:is>
          <x:t xml:space="preserve">Gastric / GEJ</x:t>
        </x:is>
      </x:c>
      <x:c r="D15" s="74" t="inlineStr">
        <x:is>
          <x:t xml:space="preserve">az-only</x:t>
        </x:is>
      </x:c>
      <x:c r="E15" s="3" t="n">
        <x:v>1</x:v>
      </x:c>
      <x:c r="F15" s="3" t="n">
        <x:v>0</x:v>
      </x:c>
      <x:c r="G15" s="3" t="inlineStr">
        <x:is>
          <x:t xml:space="preserve">rilvegostomig</x:t>
        </x:is>
      </x:c>
      <x:c r="H15" s="3" t="inlineStr">
        <x:is>
          <x:t xml:space="preserve"/>
        </x:is>
      </x:c>
      <x:c r="I15" s="73" t="inlineStr">
        <x:is>
          <x:t xml:space="preserve">https://www.astrazeneca.com/content/dam/az/Investor_Relations/annual-report-2025/pdf/AstraZeneca_Development_Pipeline_2025.pdf</x:t>
        </x:is>
      </x:c>
      <x:c r="J15" s="73" t="inlineStr">
        <x:is>
          <x:t xml:space="preserve">https://annual-report.bms.com/assets/bms-ar/documents/2025/2025-bms-development-portfolio.pdf</x:t>
        </x:is>
      </x:c>
    </x:row>
    <x:row r="16">
      <x:c r="A16" s="3" t="inlineStr">
        <x:is>
          <x:t xml:space="preserve">Solid-tumor oncology</x:t>
        </x:is>
      </x:c>
      <x:c r="B16" s="3" t="inlineStr">
        <x:is>
          <x:t xml:space="preserve">Bispecific / dual-target antibody</x:t>
        </x:is>
      </x:c>
      <x:c r="C16" s="3" t="inlineStr">
        <x:is>
          <x:t xml:space="preserve">HCC / biliary</x:t>
        </x:is>
      </x:c>
      <x:c r="D16" s="74" t="inlineStr">
        <x:is>
          <x:t xml:space="preserve">az-only</x:t>
        </x:is>
      </x:c>
      <x:c r="E16" s="3" t="n">
        <x:v>1</x:v>
      </x:c>
      <x:c r="F16" s="3" t="n">
        <x:v>0</x:v>
      </x:c>
      <x:c r="G16" s="3" t="inlineStr">
        <x:is>
          <x:t xml:space="preserve">rilvegostomig</x:t>
        </x:is>
      </x:c>
      <x:c r="H16" s="3" t="inlineStr">
        <x:is>
          <x:t xml:space="preserve"/>
        </x:is>
      </x:c>
      <x:c r="I16" s="73" t="inlineStr">
        <x:is>
          <x:t xml:space="preserve">https://www.astrazeneca.com/content/dam/az/Investor_Relations/annual-report-2025/pdf/AstraZeneca_Development_Pipeline_2025.pdf</x:t>
        </x:is>
      </x:c>
      <x:c r="J16" s="73" t="inlineStr">
        <x:is>
          <x:t xml:space="preserve">https://annual-report.bms.com/assets/bms-ar/documents/2025/2025-bms-development-portfolio.pdf</x:t>
        </x:is>
      </x:c>
    </x:row>
    <x:row r="17">
      <x:c r="A17" s="3" t="inlineStr">
        <x:is>
          <x:t xml:space="preserve">Solid-tumor oncology</x:t>
        </x:is>
      </x:c>
      <x:c r="B17" s="3" t="inlineStr">
        <x:is>
          <x:t xml:space="preserve">Bispecific / dual-target antibody</x:t>
        </x:is>
      </x:c>
      <x:c r="C17" s="3" t="inlineStr">
        <x:is>
          <x:t xml:space="preserve">Other solid tumors</x:t>
        </x:is>
      </x:c>
      <x:c r="D17" s="75" t="inlineStr">
        <x:is>
          <x:t xml:space="preserve">overlap</x:t>
        </x:is>
      </x:c>
      <x:c r="E17" s="3" t="n">
        <x:v>2</x:v>
      </x:c>
      <x:c r="F17" s="3" t="n">
        <x:v>1</x:v>
      </x:c>
      <x:c r="G17" s="3" t="inlineStr">
        <x:is>
          <x:t xml:space="preserve">rilvegostomig; volrustomig</x:t>
        </x:is>
      </x:c>
      <x:c r="H17" s="3" t="inlineStr">
        <x:is>
          <x:t xml:space="preserve">pumitamig</x:t>
        </x:is>
      </x:c>
      <x:c r="I17" s="73" t="inlineStr">
        <x:is>
          <x:t xml:space="preserve">https://www.astrazeneca.com/content/dam/az/Investor_Relations/annual-report-2025/pdf/AstraZeneca_Development_Pipeline_2025.pdf</x:t>
        </x:is>
      </x:c>
      <x:c r="J17" s="73" t="inlineStr">
        <x:is>
          <x:t xml:space="preserve">https://annual-report.bms.com/assets/bms-ar/documents/2025/2025-bms-development-portfolio.pdf</x:t>
        </x:is>
      </x:c>
    </x:row>
    <x:row r="18">
      <x:c r="A18" s="3" t="inlineStr">
        <x:is>
          <x:t xml:space="preserve">Solid-tumor oncology</x:t>
        </x:is>
      </x:c>
      <x:c r="B18" s="3" t="inlineStr">
        <x:is>
          <x:t xml:space="preserve">Small molecule / targeted degradation</x:t>
        </x:is>
      </x:c>
      <x:c r="C18" s="3" t="inlineStr">
        <x:is>
          <x:t xml:space="preserve">NSCLC</x:t>
        </x:is>
      </x:c>
      <x:c r="D18" s="72" t="inlineStr">
        <x:is>
          <x:t xml:space="preserve">bms-only</x:t>
        </x:is>
      </x:c>
      <x:c r="E18" s="3" t="n">
        <x:v>0</x:v>
      </x:c>
      <x:c r="F18" s="3" t="n">
        <x:v>1</x:v>
      </x:c>
      <x:c r="G18" s="3" t="inlineStr">
        <x:is>
          <x:t xml:space="preserve"/>
        </x:is>
      </x:c>
      <x:c r="H18" s="3" t="inlineStr">
        <x:is>
          <x:t xml:space="preserve">navlimetostat</x:t>
        </x:is>
      </x:c>
      <x:c r="I18" s="73" t="inlineStr">
        <x:is>
          <x:t xml:space="preserve">https://www.astrazeneca.com/content/dam/az/Investor_Relations/annual-report-2025/pdf/AstraZeneca_Development_Pipeline_2025.pdf</x:t>
        </x:is>
      </x:c>
      <x:c r="J18" s="73" t="inlineStr">
        <x:is>
          <x:t xml:space="preserve">https://annual-report.bms.com/assets/bms-ar/documents/2025/2025-bms-development-portfolio.pdf</x:t>
        </x:is>
      </x:c>
    </x:row>
    <x:row r="19">
      <x:c r="A19" s="3" t="inlineStr">
        <x:is>
          <x:t xml:space="preserve">Solid-tumor oncology</x:t>
        </x:is>
      </x:c>
      <x:c r="B19" s="3" t="inlineStr">
        <x:is>
          <x:t xml:space="preserve">Small molecule / targeted degradation</x:t>
        </x:is>
      </x:c>
      <x:c r="C19" s="3" t="inlineStr">
        <x:is>
          <x:t xml:space="preserve">Breast cancer</x:t>
        </x:is>
      </x:c>
      <x:c r="D19" s="74" t="inlineStr">
        <x:is>
          <x:t xml:space="preserve">az-only</x:t>
        </x:is>
      </x:c>
      <x:c r="E19" s="3" t="n">
        <x:v>2</x:v>
      </x:c>
      <x:c r="F19" s="3" t="n">
        <x:v>0</x:v>
      </x:c>
      <x:c r="G19" s="3" t="inlineStr">
        <x:is>
          <x:t xml:space="preserve">camizestrant; saruparib</x:t>
        </x:is>
      </x:c>
      <x:c r="H19" s="3" t="inlineStr">
        <x:is>
          <x:t xml:space="preserve"/>
        </x:is>
      </x:c>
      <x:c r="I19" s="73" t="inlineStr">
        <x:is>
          <x:t xml:space="preserve">https://www.astrazeneca.com/content/dam/az/Investor_Relations/annual-report-2025/pdf/AstraZeneca_Development_Pipeline_2025.pdf</x:t>
        </x:is>
      </x:c>
      <x:c r="J19" s="73" t="inlineStr">
        <x:is>
          <x:t xml:space="preserve">https://annual-report.bms.com/assets/bms-ar/documents/2025/2025-bms-development-portfolio.pdf</x:t>
        </x:is>
      </x:c>
    </x:row>
    <x:row r="20">
      <x:c r="A20" s="3" t="inlineStr">
        <x:is>
          <x:t xml:space="preserve">Solid-tumor oncology</x:t>
        </x:is>
      </x:c>
      <x:c r="B20" s="3" t="inlineStr">
        <x:is>
          <x:t xml:space="preserve">Small molecule / targeted degradation</x:t>
        </x:is>
      </x:c>
      <x:c r="C20" s="3" t="inlineStr">
        <x:is>
          <x:t xml:space="preserve">Prostate cancer</x:t>
        </x:is>
      </x:c>
      <x:c r="D20" s="75" t="inlineStr">
        <x:is>
          <x:t xml:space="preserve">overlap</x:t>
        </x:is>
      </x:c>
      <x:c r="E20" s="3" t="n">
        <x:v>1</x:v>
      </x:c>
      <x:c r="F20" s="3" t="n">
        <x:v>1</x:v>
      </x:c>
      <x:c r="G20" s="3" t="inlineStr">
        <x:is>
          <x:t xml:space="preserve">saruparib</x:t>
        </x:is>
      </x:c>
      <x:c r="H20" s="3" t="inlineStr">
        <x:is>
          <x:t xml:space="preserve">AR ligand-directed degrader</x:t>
        </x:is>
      </x:c>
      <x:c r="I20" s="73" t="inlineStr">
        <x:is>
          <x:t xml:space="preserve">https://www.astrazeneca.com/content/dam/az/Investor_Relations/annual-report-2025/pdf/AstraZeneca_Development_Pipeline_2025.pdf</x:t>
        </x:is>
      </x:c>
      <x:c r="J20" s="73" t="inlineStr">
        <x:is>
          <x:t xml:space="preserve">https://annual-report.bms.com/assets/bms-ar/documents/2025/2025-bms-development-portfolio.pdf</x:t>
        </x:is>
      </x:c>
    </x:row>
    <x:row r="21">
      <x:c r="A21" s="3" t="inlineStr">
        <x:is>
          <x:t xml:space="preserve">Solid-tumor oncology</x:t>
        </x:is>
      </x:c>
      <x:c r="B21" s="3" t="inlineStr">
        <x:is>
          <x:t xml:space="preserve">Small molecule / targeted degradation</x:t>
        </x:is>
      </x:c>
      <x:c r="C21" s="3" t="inlineStr">
        <x:is>
          <x:t xml:space="preserve">Pancreatic cancer</x:t>
        </x:is>
      </x:c>
      <x:c r="D21" s="72" t="inlineStr">
        <x:is>
          <x:t xml:space="preserve">bms-only</x:t>
        </x:is>
      </x:c>
      <x:c r="E21" s="3" t="n">
        <x:v>0</x:v>
      </x:c>
      <x:c r="F21" s="3" t="n">
        <x:v>1</x:v>
      </x:c>
      <x:c r="G21" s="3" t="inlineStr">
        <x:is>
          <x:t xml:space="preserve"/>
        </x:is>
      </x:c>
      <x:c r="H21" s="3" t="inlineStr">
        <x:is>
          <x:t xml:space="preserve">navlimetostat</x:t>
        </x:is>
      </x:c>
      <x:c r="I21" s="73" t="inlineStr">
        <x:is>
          <x:t xml:space="preserve">https://www.astrazeneca.com/content/dam/az/Investor_Relations/annual-report-2025/pdf/AstraZeneca_Development_Pipeline_2025.pdf</x:t>
        </x:is>
      </x:c>
      <x:c r="J21" s="73" t="inlineStr">
        <x:is>
          <x:t xml:space="preserve">https://annual-report.bms.com/assets/bms-ar/documents/2025/2025-bms-development-portfolio.pdf</x:t>
        </x:is>
      </x:c>
    </x:row>
    <x:row r="22">
      <x:c r="A22" s="3" t="inlineStr">
        <x:is>
          <x:t xml:space="preserve">Solid-tumor oncology</x:t>
        </x:is>
      </x:c>
      <x:c r="B22" s="3" t="inlineStr">
        <x:is>
          <x:t xml:space="preserve">Small molecule / targeted degradation</x:t>
        </x:is>
      </x:c>
      <x:c r="C22" s="3" t="inlineStr">
        <x:is>
          <x:t xml:space="preserve">Other solid tumors</x:t>
        </x:is>
      </x:c>
      <x:c r="D22" s="75" t="inlineStr">
        <x:is>
          <x:t xml:space="preserve">overlap</x:t>
        </x:is>
      </x:c>
      <x:c r="E22" s="3" t="n">
        <x:v>1</x:v>
      </x:c>
      <x:c r="F22" s="3" t="n">
        <x:v>1</x:v>
      </x:c>
      <x:c r="G22" s="3" t="inlineStr">
        <x:is>
          <x:t xml:space="preserve">AZD9574</x:t>
        </x:is>
      </x:c>
      <x:c r="H22" s="3" t="inlineStr">
        <x:is>
          <x:t xml:space="preserve">navlimetostat</x:t>
        </x:is>
      </x:c>
      <x:c r="I22" s="73" t="inlineStr">
        <x:is>
          <x:t xml:space="preserve">https://www.astrazeneca.com/content/dam/az/Investor_Relations/annual-report-2025/pdf/AstraZeneca_Development_Pipeline_2025.pdf</x:t>
        </x:is>
      </x:c>
      <x:c r="J22" s="73" t="inlineStr">
        <x:is>
          <x:t xml:space="preserve">https://annual-report.bms.com/assets/bms-ar/documents/2025/2025-bms-development-portfolio.pdf</x:t>
        </x:is>
      </x:c>
    </x:row>
    <x:row r="23">
      <x:c r="A23" s="3" t="inlineStr">
        <x:is>
          <x:t xml:space="preserve">Solid-tumor oncology</x:t>
        </x:is>
      </x:c>
      <x:c r="B23" s="3" t="inlineStr">
        <x:is>
          <x:t xml:space="preserve">mAb / IO combination</x:t>
        </x:is>
      </x:c>
      <x:c r="C23" s="3" t="inlineStr">
        <x:is>
          <x:t xml:space="preserve">NSCLC</x:t>
        </x:is>
      </x:c>
      <x:c r="D23" s="75" t="inlineStr">
        <x:is>
          <x:t xml:space="preserve">overlap</x:t>
        </x:is>
      </x:c>
      <x:c r="E23" s="3" t="n">
        <x:v>1</x:v>
      </x:c>
      <x:c r="F23" s="3" t="n">
        <x:v>1</x:v>
      </x:c>
      <x:c r="G23" s="3" t="inlineStr">
        <x:is>
          <x:t xml:space="preserve">IPH5201</x:t>
        </x:is>
      </x:c>
      <x:c r="H23" s="3" t="inlineStr">
        <x:is>
          <x:t xml:space="preserve">nivolumab + relatlimab HD</x:t>
        </x:is>
      </x:c>
      <x:c r="I23" s="73" t="inlineStr">
        <x:is>
          <x:t xml:space="preserve">https://www.astrazeneca.com/content/dam/az/Investor_Relations/annual-report-2025/pdf/AstraZeneca_Development_Pipeline_2025.pdf</x:t>
        </x:is>
      </x:c>
      <x:c r="J23" s="73" t="inlineStr">
        <x:is>
          <x:t xml:space="preserve">https://annual-report.bms.com/assets/bms-ar/documents/2025/2025-bms-development-portfolio.pdf</x:t>
        </x:is>
      </x:c>
    </x:row>
    <x:row r="24">
      <x:c r="A24" s="3" t="inlineStr">
        <x:is>
          <x:t xml:space="preserve">Solid-tumor oncology</x:t>
        </x:is>
      </x:c>
      <x:c r="B24" s="3" t="inlineStr">
        <x:is>
          <x:t xml:space="preserve">mAb / IO combination</x:t>
        </x:is>
      </x:c>
      <x:c r="C24" s="3" t="inlineStr">
        <x:is>
          <x:t xml:space="preserve">SCLC</x:t>
        </x:is>
      </x:c>
      <x:c r="D24" s="72" t="inlineStr">
        <x:is>
          <x:t xml:space="preserve">bms-only</x:t>
        </x:is>
      </x:c>
      <x:c r="E24" s="3" t="n">
        <x:v>0</x:v>
      </x:c>
      <x:c r="F24" s="3" t="n">
        <x:v>1</x:v>
      </x:c>
      <x:c r="G24" s="3" t="inlineStr">
        <x:is>
          <x:t xml:space="preserve"/>
        </x:is>
      </x:c>
      <x:c r="H24" s="3" t="inlineStr">
        <x:is>
          <x:t xml:space="preserve">atigotatug + nivolumab</x:t>
        </x:is>
      </x:c>
      <x:c r="I24" s="73" t="inlineStr">
        <x:is>
          <x:t xml:space="preserve">https://www.astrazeneca.com/content/dam/az/Investor_Relations/annual-report-2025/pdf/AstraZeneca_Development_Pipeline_2025.pdf</x:t>
        </x:is>
      </x:c>
      <x:c r="J24" s="73" t="inlineStr">
        <x:is>
          <x:t xml:space="preserve">https://annual-report.bms.com/assets/bms-ar/documents/2025/2025-bms-development-portfolio.pdf</x:t>
        </x:is>
      </x:c>
    </x:row>
    <x:row r="25">
      <x:c r="A25" s="3" t="inlineStr">
        <x:is>
          <x:t xml:space="preserve">Solid-tumor oncology</x:t>
        </x:is>
      </x:c>
      <x:c r="B25" s="3" t="inlineStr">
        <x:is>
          <x:t xml:space="preserve">Radiopharmaceutical</x:t>
        </x:is>
      </x:c>
      <x:c r="C25" s="3" t="inlineStr">
        <x:is>
          <x:t xml:space="preserve">Prostate cancer</x:t>
        </x:is>
      </x:c>
      <x:c r="D25" s="74" t="inlineStr">
        <x:is>
          <x:t xml:space="preserve">az-only</x:t>
        </x:is>
      </x:c>
      <x:c r="E25" s="3" t="n">
        <x:v>1</x:v>
      </x:c>
      <x:c r="F25" s="3" t="n">
        <x:v>0</x:v>
      </x:c>
      <x:c r="G25" s="3" t="inlineStr">
        <x:is>
          <x:t xml:space="preserve">FPI-2265</x:t>
        </x:is>
      </x:c>
      <x:c r="H25" s="3" t="inlineStr">
        <x:is>
          <x:t xml:space="preserve"/>
        </x:is>
      </x:c>
      <x:c r="I25" s="73" t="inlineStr">
        <x:is>
          <x:t xml:space="preserve">https://www.astrazeneca.com/content/dam/az/Investor_Relations/annual-report-2025/pdf/AstraZeneca_Development_Pipeline_2025.pdf</x:t>
        </x:is>
      </x:c>
      <x:c r="J25" s="73" t="inlineStr">
        <x:is>
          <x:t xml:space="preserve">https://annual-report.bms.com/assets/bms-ar/documents/2025/2025-bms-development-portfolio.pdf</x:t>
        </x:is>
      </x:c>
    </x:row>
    <x:row r="26">
      <x:c r="A26" s="3" t="inlineStr">
        <x:is>
          <x:t xml:space="preserve">Solid-tumor oncology</x:t>
        </x:is>
      </x:c>
      <x:c r="B26" s="3" t="inlineStr">
        <x:is>
          <x:t xml:space="preserve">Radiopharmaceutical</x:t>
        </x:is>
      </x:c>
      <x:c r="C26" s="3" t="inlineStr">
        <x:is>
          <x:t xml:space="preserve">GEP-NET</x:t>
        </x:is>
      </x:c>
      <x:c r="D26" s="72" t="inlineStr">
        <x:is>
          <x:t xml:space="preserve">bms-only</x:t>
        </x:is>
      </x:c>
      <x:c r="E26" s="3" t="n">
        <x:v>0</x:v>
      </x:c>
      <x:c r="F26" s="3" t="n">
        <x:v>1</x:v>
      </x:c>
      <x:c r="G26" s="3" t="inlineStr">
        <x:is>
          <x:t xml:space="preserve"/>
        </x:is>
      </x:c>
      <x:c r="H26" s="3" t="inlineStr">
        <x:is>
          <x:t xml:space="preserve">RYZ101</x:t>
        </x:is>
      </x:c>
      <x:c r="I26" s="73" t="inlineStr">
        <x:is>
          <x:t xml:space="preserve">https://www.astrazeneca.com/content/dam/az/Investor_Relations/annual-report-2025/pdf/AstraZeneca_Development_Pipeline_2025.pdf</x:t>
        </x:is>
      </x:c>
      <x:c r="J26" s="73" t="inlineStr">
        <x:is>
          <x:t xml:space="preserve">https://annual-report.bms.com/assets/bms-ar/documents/2025/2025-bms-development-portfolio.pdf</x:t>
        </x:is>
      </x:c>
    </x:row>
    <x:row r="27">
      <x:c r="A27" s="3" t="inlineStr">
        <x:is>
          <x:t xml:space="preserve">Hematology</x:t>
        </x:is>
      </x:c>
      <x:c r="B27" s="3" t="inlineStr">
        <x:is>
          <x:t xml:space="preserve">CAR-T</x:t>
        </x:is>
      </x:c>
      <x:c r="C27" s="3" t="inlineStr">
        <x:is>
          <x:t xml:space="preserve">Multiple myeloma</x:t>
        </x:is>
      </x:c>
      <x:c r="D27" s="75" t="inlineStr">
        <x:is>
          <x:t xml:space="preserve">overlap</x:t>
        </x:is>
      </x:c>
      <x:c r="E27" s="3" t="n">
        <x:v>1</x:v>
      </x:c>
      <x:c r="F27" s="3" t="n">
        <x:v>1</x:v>
      </x:c>
      <x:c r="G27" s="3" t="inlineStr">
        <x:is>
          <x:t xml:space="preserve">AZD0120</x:t>
        </x:is>
      </x:c>
      <x:c r="H27" s="3" t="inlineStr">
        <x:is>
          <x:t xml:space="preserve">arlo-cel</x:t>
        </x:is>
      </x:c>
      <x:c r="I27" s="73" t="inlineStr">
        <x:is>
          <x:t xml:space="preserve">https://www.astrazeneca.com/content/dam/az/Investor_Relations/annual-report-2025/pdf/AstraZeneca_Development_Pipeline_2025.pdf</x:t>
        </x:is>
      </x:c>
      <x:c r="J27" s="73" t="inlineStr">
        <x:is>
          <x:t xml:space="preserve">https://annual-report.bms.com/assets/bms-ar/documents/2025/2025-bms-development-portfolio.pdf</x:t>
        </x:is>
      </x:c>
    </x:row>
    <x:row r="28">
      <x:c r="A28" s="3" t="inlineStr">
        <x:is>
          <x:t xml:space="preserve">Hematology</x:t>
        </x:is>
      </x:c>
      <x:c r="B28" s="3" t="inlineStr">
        <x:is>
          <x:t xml:space="preserve">Antibody-drug conjugate</x:t>
        </x:is>
      </x:c>
      <x:c r="C28" s="3" t="inlineStr">
        <x:is>
          <x:t xml:space="preserve">Multiple myeloma</x:t>
        </x:is>
      </x:c>
      <x:c r="D28" s="74" t="inlineStr">
        <x:is>
          <x:t xml:space="preserve">az-only</x:t>
        </x:is>
      </x:c>
      <x:c r="E28" s="3" t="n">
        <x:v>1</x:v>
      </x:c>
      <x:c r="F28" s="3" t="n">
        <x:v>0</x:v>
      </x:c>
      <x:c r="G28" s="3" t="inlineStr">
        <x:is>
          <x:t xml:space="preserve">AZD0305</x:t>
        </x:is>
      </x:c>
      <x:c r="H28" s="3" t="inlineStr">
        <x:is>
          <x:t xml:space="preserve"/>
        </x:is>
      </x:c>
      <x:c r="I28" s="73" t="inlineStr">
        <x:is>
          <x:t xml:space="preserve">https://www.astrazeneca.com/content/dam/az/Investor_Relations/annual-report-2025/pdf/AstraZeneca_Development_Pipeline_2025.pdf</x:t>
        </x:is>
      </x:c>
      <x:c r="J28" s="73" t="inlineStr">
        <x:is>
          <x:t xml:space="preserve">https://annual-report.bms.com/assets/bms-ar/documents/2025/2025-bms-development-portfolio.pdf</x:t>
        </x:is>
      </x:c>
    </x:row>
    <x:row r="29">
      <x:c r="A29" s="3" t="inlineStr">
        <x:is>
          <x:t xml:space="preserve">Hematology</x:t>
        </x:is>
      </x:c>
      <x:c r="B29" s="3" t="inlineStr">
        <x:is>
          <x:t xml:space="preserve">T-cell engager</x:t>
        </x:is>
      </x:c>
      <x:c r="C29" s="3" t="inlineStr">
        <x:is>
          <x:t xml:space="preserve">B-cell lymphoma</x:t>
        </x:is>
      </x:c>
      <x:c r="D29" s="74" t="inlineStr">
        <x:is>
          <x:t xml:space="preserve">az-only</x:t>
        </x:is>
      </x:c>
      <x:c r="E29" s="3" t="n">
        <x:v>1</x:v>
      </x:c>
      <x:c r="F29" s="3" t="n">
        <x:v>0</x:v>
      </x:c>
      <x:c r="G29" s="3" t="inlineStr">
        <x:is>
          <x:t xml:space="preserve">surovatamig</x:t>
        </x:is>
      </x:c>
      <x:c r="H29" s="3" t="inlineStr">
        <x:is>
          <x:t xml:space="preserve"/>
        </x:is>
      </x:c>
      <x:c r="I29" s="73" t="inlineStr">
        <x:is>
          <x:t xml:space="preserve">https://www.astrazeneca.com/content/dam/az/Investor_Relations/annual-report-2025/pdf/AstraZeneca_Development_Pipeline_2025.pdf</x:t>
        </x:is>
      </x:c>
      <x:c r="J29" s="73" t="inlineStr">
        <x:is>
          <x:t xml:space="preserve">https://annual-report.bms.com/assets/bms-ar/documents/2025/2025-bms-development-portfolio.pdf</x:t>
        </x:is>
      </x:c>
    </x:row>
    <x:row r="30">
      <x:c r="A30" s="3" t="inlineStr">
        <x:is>
          <x:t xml:space="preserve">Hematology</x:t>
        </x:is>
      </x:c>
      <x:c r="B30" s="3" t="inlineStr">
        <x:is>
          <x:t xml:space="preserve">T-cell engager</x:t>
        </x:is>
      </x:c>
      <x:c r="C30" s="3" t="inlineStr">
        <x:is>
          <x:t xml:space="preserve">B-ALL</x:t>
        </x:is>
      </x:c>
      <x:c r="D30" s="74" t="inlineStr">
        <x:is>
          <x:t xml:space="preserve">az-only</x:t>
        </x:is>
      </x:c>
      <x:c r="E30" s="3" t="n">
        <x:v>1</x:v>
      </x:c>
      <x:c r="F30" s="3" t="n">
        <x:v>0</x:v>
      </x:c>
      <x:c r="G30" s="3" t="inlineStr">
        <x:is>
          <x:t xml:space="preserve">surovatamig</x:t>
        </x:is>
      </x:c>
      <x:c r="H30" s="3" t="inlineStr">
        <x:is>
          <x:t xml:space="preserve"/>
        </x:is>
      </x:c>
      <x:c r="I30" s="73" t="inlineStr">
        <x:is>
          <x:t xml:space="preserve">https://www.astrazeneca.com/content/dam/az/Investor_Relations/annual-report-2025/pdf/AstraZeneca_Development_Pipeline_2025.pdf</x:t>
        </x:is>
      </x:c>
      <x:c r="J30" s="73" t="inlineStr">
        <x:is>
          <x:t xml:space="preserve">https://annual-report.bms.com/assets/bms-ar/documents/2025/2025-bms-development-portfolio.pdf</x:t>
        </x:is>
      </x:c>
    </x:row>
    <x:row r="31">
      <x:c r="A31" s="3" t="inlineStr">
        <x:is>
          <x:t xml:space="preserve">Hematology</x:t>
        </x:is>
      </x:c>
      <x:c r="B31" s="3" t="inlineStr">
        <x:is>
          <x:t xml:space="preserve">Targeted protein degradation / CELMoD</x:t>
        </x:is>
      </x:c>
      <x:c r="C31" s="3" t="inlineStr">
        <x:is>
          <x:t xml:space="preserve">Multiple myeloma</x:t>
        </x:is>
      </x:c>
      <x:c r="D31" s="72" t="inlineStr">
        <x:is>
          <x:t xml:space="preserve">bms-only</x:t>
        </x:is>
      </x:c>
      <x:c r="E31" s="3" t="n">
        <x:v>0</x:v>
      </x:c>
      <x:c r="F31" s="3" t="n">
        <x:v>2</x:v>
      </x:c>
      <x:c r="G31" s="3" t="inlineStr">
        <x:is>
          <x:t xml:space="preserve"/>
        </x:is>
      </x:c>
      <x:c r="H31" s="3" t="inlineStr">
        <x:is>
          <x:t xml:space="preserve">iberdomide; mezigdomide</x:t>
        </x:is>
      </x:c>
      <x:c r="I31" s="73" t="inlineStr">
        <x:is>
          <x:t xml:space="preserve">https://www.astrazeneca.com/content/dam/az/Investor_Relations/annual-report-2025/pdf/AstraZeneca_Development_Pipeline_2025.pdf</x:t>
        </x:is>
      </x:c>
      <x:c r="J31" s="73" t="inlineStr">
        <x:is>
          <x:t xml:space="preserve">https://annual-report.bms.com/assets/bms-ar/documents/2025/2025-bms-development-portfolio.pdf</x:t>
        </x:is>
      </x:c>
    </x:row>
    <x:row r="32">
      <x:c r="A32" s="3" t="inlineStr">
        <x:is>
          <x:t xml:space="preserve">Hematology</x:t>
        </x:is>
      </x:c>
      <x:c r="B32" s="3" t="inlineStr">
        <x:is>
          <x:t xml:space="preserve">Targeted protein degradation / CELMoD</x:t>
        </x:is>
      </x:c>
      <x:c r="C32" s="3" t="inlineStr">
        <x:is>
          <x:t xml:space="preserve">B-cell lymphoma</x:t>
        </x:is>
      </x:c>
      <x:c r="D32" s="72" t="inlineStr">
        <x:is>
          <x:t xml:space="preserve">bms-only</x:t>
        </x:is>
      </x:c>
      <x:c r="E32" s="3" t="n">
        <x:v>0</x:v>
      </x:c>
      <x:c r="F32" s="3" t="n">
        <x:v>1</x:v>
      </x:c>
      <x:c r="G32" s="3" t="inlineStr">
        <x:is>
          <x:t xml:space="preserve"/>
        </x:is>
      </x:c>
      <x:c r="H32" s="3" t="inlineStr">
        <x:is>
          <x:t xml:space="preserve">golcadomide</x:t>
        </x:is>
      </x:c>
      <x:c r="I32" s="73" t="inlineStr">
        <x:is>
          <x:t xml:space="preserve">https://www.astrazeneca.com/content/dam/az/Investor_Relations/annual-report-2025/pdf/AstraZeneca_Development_Pipeline_2025.pdf</x:t>
        </x:is>
      </x:c>
      <x:c r="J32" s="73" t="inlineStr">
        <x:is>
          <x:t xml:space="preserve">https://annual-report.bms.com/assets/bms-ar/documents/2025/2025-bms-development-portfolio.pdf</x:t>
        </x:is>
      </x:c>
    </x:row>
    <x:row r="33">
      <x:c r="A33" s="3" t="inlineStr">
        <x:is>
          <x:t xml:space="preserve">Hematology</x:t>
        </x:is>
      </x:c>
      <x:c r="B33" s="3" t="inlineStr">
        <x:is>
          <x:t xml:space="preserve">Small molecule</x:t>
        </x:is>
      </x:c>
      <x:c r="C33" s="3" t="inlineStr">
        <x:is>
          <x:t xml:space="preserve">Hodgkin lymphoma</x:t>
        </x:is>
      </x:c>
      <x:c r="D33" s="74" t="inlineStr">
        <x:is>
          <x:t xml:space="preserve">az-only</x:t>
        </x:is>
      </x:c>
      <x:c r="E33" s="3" t="n">
        <x:v>1</x:v>
      </x:c>
      <x:c r="F33" s="3" t="n">
        <x:v>0</x:v>
      </x:c>
      <x:c r="G33" s="3" t="inlineStr">
        <x:is>
          <x:t xml:space="preserve">AZD3470</x:t>
        </x:is>
      </x:c>
      <x:c r="H33" s="3" t="inlineStr">
        <x:is>
          <x:t xml:space="preserve"/>
        </x:is>
      </x:c>
      <x:c r="I33" s="73" t="inlineStr">
        <x:is>
          <x:t xml:space="preserve">https://www.astrazeneca.com/content/dam/az/Investor_Relations/annual-report-2025/pdf/AstraZeneca_Development_Pipeline_2025.pdf</x:t>
        </x:is>
      </x:c>
      <x:c r="J33" s="73" t="inlineStr">
        <x:is>
          <x:t xml:space="preserve">https://annual-report.bms.com/assets/bms-ar/documents/2025/2025-bms-development-portfolio.pdf</x:t>
        </x:is>
      </x:c>
    </x:row>
    <x:row r="34">
      <x:c r="A34" s="3" t="inlineStr">
        <x:is>
          <x:t xml:space="preserve">Immunology, respiratory &amp; fibrosis</x:t>
        </x:is>
      </x:c>
      <x:c r="B34" s="3" t="inlineStr">
        <x:is>
          <x:t xml:space="preserve">Oral / systemic small molecule</x:t>
        </x:is>
      </x:c>
      <x:c r="C34" s="3" t="inlineStr">
        <x:is>
          <x:t xml:space="preserve">Asthma</x:t>
        </x:is>
      </x:c>
      <x:c r="D34" s="74" t="inlineStr">
        <x:is>
          <x:t xml:space="preserve">az-only</x:t>
        </x:is>
      </x:c>
      <x:c r="E34" s="3" t="n">
        <x:v>1</x:v>
      </x:c>
      <x:c r="F34" s="3" t="n">
        <x:v>0</x:v>
      </x:c>
      <x:c r="G34" s="3" t="inlineStr">
        <x:is>
          <x:t xml:space="preserve">atuliflapon</x:t>
        </x:is>
      </x:c>
      <x:c r="H34" s="3" t="inlineStr">
        <x:is>
          <x:t xml:space="preserve"/>
        </x:is>
      </x:c>
      <x:c r="I34" s="73" t="inlineStr">
        <x:is>
          <x:t xml:space="preserve">https://www.astrazeneca.com/content/dam/az/Investor_Relations/annual-report-2025/pdf/AstraZeneca_Development_Pipeline_2025.pdf</x:t>
        </x:is>
      </x:c>
      <x:c r="J34" s="73" t="inlineStr">
        <x:is>
          <x:t xml:space="preserve">https://annual-report.bms.com/assets/bms-ar/documents/2025/2025-bms-development-portfolio.pdf</x:t>
        </x:is>
      </x:c>
    </x:row>
    <x:row r="35">
      <x:c r="A35" s="3" t="inlineStr">
        <x:is>
          <x:t xml:space="preserve">Immunology, respiratory &amp; fibrosis</x:t>
        </x:is>
      </x:c>
      <x:c r="B35" s="3" t="inlineStr">
        <x:is>
          <x:t xml:space="preserve">Oral / systemic small molecule</x:t>
        </x:is>
      </x:c>
      <x:c r="C35" s="3" t="inlineStr">
        <x:is>
          <x:t xml:space="preserve">COPD</x:t>
        </x:is>
      </x:c>
      <x:c r="D35" s="74" t="inlineStr">
        <x:is>
          <x:t xml:space="preserve">az-only</x:t>
        </x:is>
      </x:c>
      <x:c r="E35" s="3" t="n">
        <x:v>1</x:v>
      </x:c>
      <x:c r="F35" s="3" t="n">
        <x:v>0</x:v>
      </x:c>
      <x:c r="G35" s="3" t="inlineStr">
        <x:is>
          <x:t xml:space="preserve">AZD6793</x:t>
        </x:is>
      </x:c>
      <x:c r="H35" s="3" t="inlineStr">
        <x:is>
          <x:t xml:space="preserve"/>
        </x:is>
      </x:c>
      <x:c r="I35" s="73" t="inlineStr">
        <x:is>
          <x:t xml:space="preserve">https://www.astrazeneca.com/content/dam/az/Investor_Relations/annual-report-2025/pdf/AstraZeneca_Development_Pipeline_2025.pdf</x:t>
        </x:is>
      </x:c>
      <x:c r="J35" s="73" t="inlineStr">
        <x:is>
          <x:t xml:space="preserve">https://annual-report.bms.com/assets/bms-ar/documents/2025/2025-bms-development-portfolio.pdf</x:t>
        </x:is>
      </x:c>
    </x:row>
    <x:row r="36">
      <x:c r="A36" s="3" t="inlineStr">
        <x:is>
          <x:t xml:space="preserve">Immunology, respiratory &amp; fibrosis</x:t>
        </x:is>
      </x:c>
      <x:c r="B36" s="3" t="inlineStr">
        <x:is>
          <x:t xml:space="preserve">Oral / systemic small molecule</x:t>
        </x:is>
      </x:c>
      <x:c r="C36" s="3" t="inlineStr">
        <x:is>
          <x:t xml:space="preserve">Pulmonary fibrosis</x:t>
        </x:is>
      </x:c>
      <x:c r="D36" s="72" t="inlineStr">
        <x:is>
          <x:t xml:space="preserve">bms-only</x:t>
        </x:is>
      </x:c>
      <x:c r="E36" s="3" t="n">
        <x:v>0</x:v>
      </x:c>
      <x:c r="F36" s="3" t="n">
        <x:v>1</x:v>
      </x:c>
      <x:c r="G36" s="3" t="inlineStr">
        <x:is>
          <x:t xml:space="preserve"/>
        </x:is>
      </x:c>
      <x:c r="H36" s="3" t="inlineStr">
        <x:is>
          <x:t xml:space="preserve">admilparant</x:t>
        </x:is>
      </x:c>
      <x:c r="I36" s="73" t="inlineStr">
        <x:is>
          <x:t xml:space="preserve">https://www.astrazeneca.com/content/dam/az/Investor_Relations/annual-report-2025/pdf/AstraZeneca_Development_Pipeline_2025.pdf</x:t>
        </x:is>
      </x:c>
      <x:c r="J36" s="73" t="inlineStr">
        <x:is>
          <x:t xml:space="preserve">https://annual-report.bms.com/assets/bms-ar/documents/2025/2025-bms-development-portfolio.pdf</x:t>
        </x:is>
      </x:c>
    </x:row>
    <x:row r="37">
      <x:c r="A37" s="3" t="inlineStr">
        <x:is>
          <x:t xml:space="preserve">Immunology, respiratory &amp; fibrosis</x:t>
        </x:is>
      </x:c>
      <x:c r="B37" s="3" t="inlineStr">
        <x:is>
          <x:t xml:space="preserve">Inhaled small molecule</x:t>
        </x:is>
      </x:c>
      <x:c r="C37" s="3" t="inlineStr">
        <x:is>
          <x:t xml:space="preserve">Asthma</x:t>
        </x:is>
      </x:c>
      <x:c r="D37" s="74" t="inlineStr">
        <x:is>
          <x:t xml:space="preserve">az-only</x:t>
        </x:is>
      </x:c>
      <x:c r="E37" s="3" t="n">
        <x:v>1</x:v>
      </x:c>
      <x:c r="F37" s="3" t="n">
        <x:v>0</x:v>
      </x:c>
      <x:c r="G37" s="3" t="inlineStr">
        <x:is>
          <x:t xml:space="preserve">AZD4604</x:t>
        </x:is>
      </x:c>
      <x:c r="H37" s="3" t="inlineStr">
        <x:is>
          <x:t xml:space="preserve"/>
        </x:is>
      </x:c>
      <x:c r="I37" s="73" t="inlineStr">
        <x:is>
          <x:t xml:space="preserve">https://www.astrazeneca.com/content/dam/az/Investor_Relations/annual-report-2025/pdf/AstraZeneca_Development_Pipeline_2025.pdf</x:t>
        </x:is>
      </x:c>
      <x:c r="J37" s="73" t="inlineStr">
        <x:is>
          <x:t xml:space="preserve">https://annual-report.bms.com/assets/bms-ar/documents/2025/2025-bms-development-portfolio.pdf</x:t>
        </x:is>
      </x:c>
    </x:row>
    <x:row r="38">
      <x:c r="A38" s="3" t="inlineStr">
        <x:is>
          <x:t xml:space="preserve">Immunology, respiratory &amp; fibrosis</x:t>
        </x:is>
      </x:c>
      <x:c r="B38" s="3" t="inlineStr">
        <x:is>
          <x:t xml:space="preserve">Monoclonal / bispecific antibody</x:t>
        </x:is>
      </x:c>
      <x:c r="C38" s="3" t="inlineStr">
        <x:is>
          <x:t xml:space="preserve">COPD</x:t>
        </x:is>
      </x:c>
      <x:c r="D38" s="74" t="inlineStr">
        <x:is>
          <x:t xml:space="preserve">az-only</x:t>
        </x:is>
      </x:c>
      <x:c r="E38" s="3" t="n">
        <x:v>1</x:v>
      </x:c>
      <x:c r="F38" s="3" t="n">
        <x:v>0</x:v>
      </x:c>
      <x:c r="G38" s="3" t="inlineStr">
        <x:is>
          <x:t xml:space="preserve">tozorakimab</x:t>
        </x:is>
      </x:c>
      <x:c r="H38" s="3" t="inlineStr">
        <x:is>
          <x:t xml:space="preserve"/>
        </x:is>
      </x:c>
      <x:c r="I38" s="73" t="inlineStr">
        <x:is>
          <x:t xml:space="preserve">https://www.astrazeneca.com/content/dam/az/Investor_Relations/annual-report-2025/pdf/AstraZeneca_Development_Pipeline_2025.pdf</x:t>
        </x:is>
      </x:c>
      <x:c r="J38" s="73" t="inlineStr">
        <x:is>
          <x:t xml:space="preserve">https://annual-report.bms.com/assets/bms-ar/documents/2025/2025-bms-development-portfolio.pdf</x:t>
        </x:is>
      </x:c>
    </x:row>
    <x:row r="39">
      <x:c r="A39" s="3" t="inlineStr">
        <x:is>
          <x:t xml:space="preserve">Immunology, respiratory &amp; fibrosis</x:t>
        </x:is>
      </x:c>
      <x:c r="B39" s="3" t="inlineStr">
        <x:is>
          <x:t xml:space="preserve">Monoclonal / bispecific antibody</x:t>
        </x:is>
      </x:c>
      <x:c r="C39" s="3" t="inlineStr">
        <x:is>
          <x:t xml:space="preserve">Rheumatoid arthritis</x:t>
        </x:is>
      </x:c>
      <x:c r="D39" s="74" t="inlineStr">
        <x:is>
          <x:t xml:space="preserve">az-only</x:t>
        </x:is>
      </x:c>
      <x:c r="E39" s="3" t="n">
        <x:v>1</x:v>
      </x:c>
      <x:c r="F39" s="3" t="n">
        <x:v>0</x:v>
      </x:c>
      <x:c r="G39" s="3" t="inlineStr">
        <x:is>
          <x:t xml:space="preserve">AZD1163</x:t>
        </x:is>
      </x:c>
      <x:c r="H39" s="3" t="inlineStr">
        <x:is>
          <x:t xml:space="preserve"/>
        </x:is>
      </x:c>
      <x:c r="I39" s="73" t="inlineStr">
        <x:is>
          <x:t xml:space="preserve">https://www.astrazeneca.com/content/dam/az/Investor_Relations/annual-report-2025/pdf/AstraZeneca_Development_Pipeline_2025.pdf</x:t>
        </x:is>
      </x:c>
      <x:c r="J39" s="73" t="inlineStr">
        <x:is>
          <x:t xml:space="preserve">https://annual-report.bms.com/assets/bms-ar/documents/2025/2025-bms-development-portfolio.pdf</x:t>
        </x:is>
      </x:c>
    </x:row>
    <x:row r="40">
      <x:c r="A40" s="3" t="inlineStr">
        <x:is>
          <x:t xml:space="preserve">Immunology, respiratory &amp; fibrosis</x:t>
        </x:is>
      </x:c>
      <x:c r="B40" s="3" t="inlineStr">
        <x:is>
          <x:t xml:space="preserve">Monoclonal / bispecific antibody</x:t>
        </x:is>
      </x:c>
      <x:c r="C40" s="3" t="inlineStr">
        <x:is>
          <x:t xml:space="preserve">Crohn's disease</x:t>
        </x:is>
      </x:c>
      <x:c r="D40" s="74" t="inlineStr">
        <x:is>
          <x:t xml:space="preserve">az-only</x:t>
        </x:is>
      </x:c>
      <x:c r="E40" s="3" t="n">
        <x:v>1</x:v>
      </x:c>
      <x:c r="F40" s="3" t="n">
        <x:v>0</x:v>
      </x:c>
      <x:c r="G40" s="3" t="inlineStr">
        <x:is>
          <x:t xml:space="preserve">AZD7798</x:t>
        </x:is>
      </x:c>
      <x:c r="H40" s="3" t="inlineStr">
        <x:is>
          <x:t xml:space="preserve"/>
        </x:is>
      </x:c>
      <x:c r="I40" s="73" t="inlineStr">
        <x:is>
          <x:t xml:space="preserve">https://www.astrazeneca.com/content/dam/az/Investor_Relations/annual-report-2025/pdf/AstraZeneca_Development_Pipeline_2025.pdf</x:t>
        </x:is>
      </x:c>
      <x:c r="J40" s="73" t="inlineStr">
        <x:is>
          <x:t xml:space="preserve">https://annual-report.bms.com/assets/bms-ar/documents/2025/2025-bms-development-portfolio.pdf</x:t>
        </x:is>
      </x:c>
    </x:row>
    <x:row r="41">
      <x:c r="A41" s="3" t="inlineStr">
        <x:is>
          <x:t xml:space="preserve">Immunology, respiratory &amp; fibrosis</x:t>
        </x:is>
      </x:c>
      <x:c r="B41" s="3" t="inlineStr">
        <x:is>
          <x:t xml:space="preserve">Monoclonal / bispecific antibody</x:t>
        </x:is>
      </x:c>
      <x:c r="C41" s="3" t="inlineStr">
        <x:is>
          <x:t xml:space="preserve">IgG4-related disease</x:t>
        </x:is>
      </x:c>
      <x:c r="D41" s="72" t="inlineStr">
        <x:is>
          <x:t xml:space="preserve">bms-only</x:t>
        </x:is>
      </x:c>
      <x:c r="E41" s="3" t="n">
        <x:v>0</x:v>
      </x:c>
      <x:c r="F41" s="3" t="n">
        <x:v>1</x:v>
      </x:c>
      <x:c r="G41" s="3" t="inlineStr">
        <x:is>
          <x:t xml:space="preserve"/>
        </x:is>
      </x:c>
      <x:c r="H41" s="3" t="inlineStr">
        <x:is>
          <x:t xml:space="preserve">obexelimab</x:t>
        </x:is>
      </x:c>
      <x:c r="I41" s="73" t="inlineStr">
        <x:is>
          <x:t xml:space="preserve">https://www.astrazeneca.com/content/dam/az/Investor_Relations/annual-report-2025/pdf/AstraZeneca_Development_Pipeline_2025.pdf</x:t>
        </x:is>
      </x:c>
      <x:c r="J41" s="73" t="inlineStr">
        <x:is>
          <x:t xml:space="preserve">https://annual-report.bms.com/assets/bms-ar/documents/2025/2025-bms-development-portfolio.pdf</x:t>
        </x:is>
      </x:c>
    </x:row>
    <x:row r="42">
      <x:c r="A42" s="3" t="inlineStr">
        <x:is>
          <x:t xml:space="preserve">Immunology, respiratory &amp; fibrosis</x:t>
        </x:is>
      </x:c>
      <x:c r="B42" s="3" t="inlineStr">
        <x:is>
          <x:t xml:space="preserve">Monoclonal / bispecific antibody</x:t>
        </x:is>
      </x:c>
      <x:c r="C42" s="3" t="inlineStr">
        <x:is>
          <x:t xml:space="preserve">Severe viral LRTD</x:t>
        </x:is>
      </x:c>
      <x:c r="D42" s="74" t="inlineStr">
        <x:is>
          <x:t xml:space="preserve">az-only</x:t>
        </x:is>
      </x:c>
      <x:c r="E42" s="3" t="n">
        <x:v>1</x:v>
      </x:c>
      <x:c r="F42" s="3" t="n">
        <x:v>0</x:v>
      </x:c>
      <x:c r="G42" s="3" t="inlineStr">
        <x:is>
          <x:t xml:space="preserve">tozorakimab</x:t>
        </x:is>
      </x:c>
      <x:c r="H42" s="3" t="inlineStr">
        <x:is>
          <x:t xml:space="preserve"/>
        </x:is>
      </x:c>
      <x:c r="I42" s="73" t="inlineStr">
        <x:is>
          <x:t xml:space="preserve">https://www.astrazeneca.com/content/dam/az/Investor_Relations/annual-report-2025/pdf/AstraZeneca_Development_Pipeline_2025.pdf</x:t>
        </x:is>
      </x:c>
      <x:c r="J42" s="73" t="inlineStr">
        <x:is>
          <x:t xml:space="preserve">https://annual-report.bms.com/assets/bms-ar/documents/2025/2025-bms-development-portfolio.pdf</x:t>
        </x:is>
      </x:c>
    </x:row>
    <x:row r="43">
      <x:c r="A43" s="3" t="inlineStr">
        <x:is>
          <x:t xml:space="preserve">Immunology, respiratory &amp; fibrosis</x:t>
        </x:is>
      </x:c>
      <x:c r="B43" s="3" t="inlineStr">
        <x:is>
          <x:t xml:space="preserve">Inhaled biologic</x:t>
        </x:is>
      </x:c>
      <x:c r="C43" s="3" t="inlineStr">
        <x:is>
          <x:t xml:space="preserve">Asthma</x:t>
        </x:is>
      </x:c>
      <x:c r="D43" s="74" t="inlineStr">
        <x:is>
          <x:t xml:space="preserve">az-only</x:t>
        </x:is>
      </x:c>
      <x:c r="E43" s="3" t="n">
        <x:v>1</x:v>
      </x:c>
      <x:c r="F43" s="3" t="n">
        <x:v>0</x:v>
      </x:c>
      <x:c r="G43" s="3" t="inlineStr">
        <x:is>
          <x:t xml:space="preserve">AZD8630</x:t>
        </x:is>
      </x:c>
      <x:c r="H43" s="3" t="inlineStr">
        <x:is>
          <x:t xml:space="preserve"/>
        </x:is>
      </x:c>
      <x:c r="I43" s="73" t="inlineStr">
        <x:is>
          <x:t xml:space="preserve">https://www.astrazeneca.com/content/dam/az/Investor_Relations/annual-report-2025/pdf/AstraZeneca_Development_Pipeline_2025.pdf</x:t>
        </x:is>
      </x:c>
      <x:c r="J43" s="73" t="inlineStr">
        <x:is>
          <x:t xml:space="preserve">https://annual-report.bms.com/assets/bms-ar/documents/2025/2025-bms-development-portfolio.pdf</x:t>
        </x:is>
      </x:c>
    </x:row>
    <x:row r="44">
      <x:c r="A44" s="3" t="inlineStr">
        <x:is>
          <x:t xml:space="preserve">Immunology, respiratory &amp; fibrosis</x:t>
        </x:is>
      </x:c>
      <x:c r="B44" s="3" t="inlineStr">
        <x:is>
          <x:t xml:space="preserve">CAR-T</x:t>
        </x:is>
      </x:c>
      <x:c r="C44" s="3" t="inlineStr">
        <x:is>
          <x:t xml:space="preserve">SLE / systemic sclerosis</x:t>
        </x:is>
      </x:c>
      <x:c r="D44" s="72" t="inlineStr">
        <x:is>
          <x:t xml:space="preserve">bms-only</x:t>
        </x:is>
      </x:c>
      <x:c r="E44" s="3" t="n">
        <x:v>0</x:v>
      </x:c>
      <x:c r="F44" s="3" t="n">
        <x:v>1</x:v>
      </x:c>
      <x:c r="G44" s="3" t="inlineStr">
        <x:is>
          <x:t xml:space="preserve"/>
        </x:is>
      </x:c>
      <x:c r="H44" s="3" t="inlineStr">
        <x:is>
          <x:t xml:space="preserve">zola-cel (CD19 NEX-T)</x:t>
        </x:is>
      </x:c>
      <x:c r="I44" s="73" t="inlineStr">
        <x:is>
          <x:t xml:space="preserve">https://www.astrazeneca.com/content/dam/az/Investor_Relations/annual-report-2025/pdf/AstraZeneca_Development_Pipeline_2025.pdf</x:t>
        </x:is>
      </x:c>
      <x:c r="J44" s="73" t="inlineStr">
        <x:is>
          <x:t xml:space="preserve">https://annual-report.bms.com/assets/bms-ar/documents/2025/2025-bms-development-portfolio.pdf</x:t>
        </x:is>
      </x:c>
    </x:row>
    <x:row r="45">
      <x:c r="A45" s="3" t="inlineStr">
        <x:is>
          <x:t xml:space="preserve">Cardiovascular</x:t>
        </x:is>
      </x:c>
      <x:c r="B45" s="3" t="inlineStr">
        <x:is>
          <x:t xml:space="preserve">Small molecule / oral therapy</x:t>
        </x:is>
      </x:c>
      <x:c r="C45" s="3" t="inlineStr">
        <x:is>
          <x:t xml:space="preserve">Heart failure</x:t>
        </x:is>
      </x:c>
      <x:c r="D45" s="75" t="inlineStr">
        <x:is>
          <x:t xml:space="preserve">overlap</x:t>
        </x:is>
      </x:c>
      <x:c r="E45" s="3" t="n">
        <x:v>1</x:v>
      </x:c>
      <x:c r="F45" s="3" t="n">
        <x:v>1</x:v>
      </x:c>
      <x:c r="G45" s="3" t="inlineStr">
        <x:is>
          <x:t xml:space="preserve">AZD5462</x:t>
        </x:is>
      </x:c>
      <x:c r="H45" s="3" t="inlineStr">
        <x:is>
          <x:t xml:space="preserve">MYK-224</x:t>
        </x:is>
      </x:c>
      <x:c r="I45" s="73" t="inlineStr">
        <x:is>
          <x:t xml:space="preserve">https://www.astrazeneca.com/content/dam/az/Investor_Relations/annual-report-2025/pdf/AstraZeneca_Development_Pipeline_2025.pdf</x:t>
        </x:is>
      </x:c>
      <x:c r="J45" s="73" t="inlineStr">
        <x:is>
          <x:t xml:space="preserve">https://annual-report.bms.com/assets/bms-ar/documents/2025/2025-bms-development-portfolio.pdf</x:t>
        </x:is>
      </x:c>
    </x:row>
    <x:row r="46">
      <x:c r="A46" s="3" t="inlineStr">
        <x:is>
          <x:t xml:space="preserve">Cardiovascular</x:t>
        </x:is>
      </x:c>
      <x:c r="B46" s="3" t="inlineStr">
        <x:is>
          <x:t xml:space="preserve">Small molecule / oral therapy</x:t>
        </x:is>
      </x:c>
      <x:c r="C46" s="3" t="inlineStr">
        <x:is>
          <x:t xml:space="preserve">Hypertension / aldosteronism</x:t>
        </x:is>
      </x:c>
      <x:c r="D46" s="74" t="inlineStr">
        <x:is>
          <x:t xml:space="preserve">az-only</x:t>
        </x:is>
      </x:c>
      <x:c r="E46" s="3" t="n">
        <x:v>1</x:v>
      </x:c>
      <x:c r="F46" s="3" t="n">
        <x:v>0</x:v>
      </x:c>
      <x:c r="G46" s="3" t="inlineStr">
        <x:is>
          <x:t xml:space="preserve">baxdrostat</x:t>
        </x:is>
      </x:c>
      <x:c r="H46" s="3" t="inlineStr">
        <x:is>
          <x:t xml:space="preserve"/>
        </x:is>
      </x:c>
      <x:c r="I46" s="73" t="inlineStr">
        <x:is>
          <x:t xml:space="preserve">https://www.astrazeneca.com/content/dam/az/Investor_Relations/annual-report-2025/pdf/AstraZeneca_Development_Pipeline_2025.pdf</x:t>
        </x:is>
      </x:c>
      <x:c r="J46" s="73" t="inlineStr">
        <x:is>
          <x:t xml:space="preserve">https://annual-report.bms.com/assets/bms-ar/documents/2025/2025-bms-development-portfolio.pdf</x:t>
        </x:is>
      </x:c>
    </x:row>
    <x:row r="47">
      <x:c r="A47" s="3" t="inlineStr">
        <x:is>
          <x:t xml:space="preserve">Cardiovascular</x:t>
        </x:is>
      </x:c>
      <x:c r="B47" s="3" t="inlineStr">
        <x:is>
          <x:t xml:space="preserve">Small molecule / oral therapy</x:t>
        </x:is>
      </x:c>
      <x:c r="C47" s="3" t="inlineStr">
        <x:is>
          <x:t xml:space="preserve">AF / stroke prevention</x:t>
        </x:is>
      </x:c>
      <x:c r="D47" s="72" t="inlineStr">
        <x:is>
          <x:t xml:space="preserve">bms-only</x:t>
        </x:is>
      </x:c>
      <x:c r="E47" s="3" t="n">
        <x:v>0</x:v>
      </x:c>
      <x:c r="F47" s="3" t="n">
        <x:v>1</x:v>
      </x:c>
      <x:c r="G47" s="3" t="inlineStr">
        <x:is>
          <x:t xml:space="preserve"/>
        </x:is>
      </x:c>
      <x:c r="H47" s="3" t="inlineStr">
        <x:is>
          <x:t xml:space="preserve">milvexian</x:t>
        </x:is>
      </x:c>
      <x:c r="I47" s="73" t="inlineStr">
        <x:is>
          <x:t xml:space="preserve">https://www.astrazeneca.com/content/dam/az/Investor_Relations/annual-report-2025/pdf/AstraZeneca_Development_Pipeline_2025.pdf</x:t>
        </x:is>
      </x:c>
      <x:c r="J47" s="73" t="inlineStr">
        <x:is>
          <x:t xml:space="preserve">https://annual-report.bms.com/assets/bms-ar/documents/2025/2025-bms-development-portfolio.pdf</x:t>
        </x:is>
      </x:c>
    </x:row>
    <x:row r="48">
      <x:c r="A48" s="3" t="inlineStr">
        <x:is>
          <x:t xml:space="preserve">Cardiovascular</x:t>
        </x:is>
      </x:c>
      <x:c r="B48" s="3" t="inlineStr">
        <x:is>
          <x:t xml:space="preserve">Other targeted therapy</x:t>
        </x:is>
      </x:c>
      <x:c r="C48" s="3" t="inlineStr">
        <x:is>
          <x:t xml:space="preserve">Dyslipidemia</x:t>
        </x:is>
      </x:c>
      <x:c r="D48" s="74" t="inlineStr">
        <x:is>
          <x:t xml:space="preserve">az-only</x:t>
        </x:is>
      </x:c>
      <x:c r="E48" s="3" t="n">
        <x:v>1</x:v>
      </x:c>
      <x:c r="F48" s="3" t="n">
        <x:v>0</x:v>
      </x:c>
      <x:c r="G48" s="3" t="inlineStr">
        <x:is>
          <x:t xml:space="preserve">laroprovstat</x:t>
        </x:is>
      </x:c>
      <x:c r="H48" s="3" t="inlineStr">
        <x:is>
          <x:t xml:space="preserve"/>
        </x:is>
      </x:c>
      <x:c r="I48" s="73" t="inlineStr">
        <x:is>
          <x:t xml:space="preserve">https://www.astrazeneca.com/content/dam/az/Investor_Relations/annual-report-2025/pdf/AstraZeneca_Development_Pipeline_2025.pdf</x:t>
        </x:is>
      </x:c>
      <x:c r="J48" s="73" t="inlineStr">
        <x:is>
          <x:t xml:space="preserve">https://annual-report.bms.com/assets/bms-ar/documents/2025/2025-bms-development-portfolio.pdf</x:t>
        </x:is>
      </x:c>
    </x:row>
    <x:row r="49">
      <x:c r="A49" s="3" t="inlineStr">
        <x:is>
          <x:t xml:space="preserve">Rare disease</x:t>
        </x:is>
      </x:c>
      <x:c r="B49" s="3" t="inlineStr">
        <x:is>
          <x:t xml:space="preserve">Protein / fusion therapeutic</x:t>
        </x:is>
      </x:c>
      <x:c r="C49" s="3" t="inlineStr">
        <x:is>
          <x:t xml:space="preserve">Primary membranous nephropathy</x:t>
        </x:is>
      </x:c>
      <x:c r="D49" s="74" t="inlineStr">
        <x:is>
          <x:t xml:space="preserve">az-only</x:t>
        </x:is>
      </x:c>
      <x:c r="E49" s="3" t="n">
        <x:v>1</x:v>
      </x:c>
      <x:c r="F49" s="3" t="n">
        <x:v>0</x:v>
      </x:c>
      <x:c r="G49" s="3" t="inlineStr">
        <x:is>
          <x:t xml:space="preserve">ALXN1920</x:t>
        </x:is>
      </x:c>
      <x:c r="H49" s="3" t="inlineStr">
        <x:is>
          <x:t xml:space="preserve"/>
        </x:is>
      </x:c>
      <x:c r="I49" s="73" t="inlineStr">
        <x:is>
          <x:t xml:space="preserve">https://www.astrazeneca.com/content/dam/az/Investor_Relations/annual-report-2025/pdf/AstraZeneca_Development_Pipeline_2025.pdf</x:t>
        </x:is>
      </x:c>
      <x:c r="J49" s="73" t="inlineStr">
        <x:is>
          <x:t xml:space="preserve">https://annual-report.bms.com/assets/bms-ar/documents/2025/2025-bms-development-portfolio.pdf</x:t>
        </x:is>
      </x:c>
    </x:row>
    <x:row r="50">
      <x:c r="A50" s="3" t="inlineStr">
        <x:is>
          <x:t xml:space="preserve">Rare disease</x:t>
        </x:is>
      </x:c>
      <x:c r="B50" s="3" t="inlineStr">
        <x:is>
          <x:t xml:space="preserve">RNA / siRNA</x:t>
        </x:is>
      </x:c>
      <x:c r="C50" s="3" t="inlineStr">
        <x:is>
          <x:t xml:space="preserve">Antibody-mediated rejection</x:t>
        </x:is>
      </x:c>
      <x:c r="D50" s="74" t="inlineStr">
        <x:is>
          <x:t xml:space="preserve">az-only</x:t>
        </x:is>
      </x:c>
      <x:c r="E50" s="3" t="n">
        <x:v>1</x:v>
      </x:c>
      <x:c r="F50" s="3" t="n">
        <x:v>0</x:v>
      </x:c>
      <x:c r="G50" s="3" t="inlineStr">
        <x:is>
          <x:t xml:space="preserve">ALXN2030</x:t>
        </x:is>
      </x:c>
      <x:c r="H50" s="3" t="inlineStr">
        <x:is>
          <x:t xml:space="preserve"/>
        </x:is>
      </x:c>
      <x:c r="I50" s="73" t="inlineStr">
        <x:is>
          <x:t xml:space="preserve">https://www.astrazeneca.com/content/dam/az/Investor_Relations/annual-report-2025/pdf/AstraZeneca_Development_Pipeline_2025.pdf</x:t>
        </x:is>
      </x:c>
      <x:c r="J50" s="73" t="inlineStr">
        <x:is>
          <x:t xml:space="preserve">https://annual-report.bms.com/assets/bms-ar/documents/2025/2025-bms-development-portfolio.pdf</x:t>
        </x:is>
      </x:c>
    </x:row>
    <x:row r="51">
      <x:c r="A51" s="3" t="inlineStr">
        <x:is>
          <x:t xml:space="preserve">Rare disease</x:t>
        </x:is>
      </x:c>
      <x:c r="B51" s="3" t="inlineStr">
        <x:is>
          <x:t xml:space="preserve">Small molecule / kinase inhibitor</x:t>
        </x:is>
      </x:c>
      <x:c r="C51" s="3" t="inlineStr">
        <x:is>
          <x:t xml:space="preserve">ANCA vasculitis</x:t>
        </x:is>
      </x:c>
      <x:c r="D51" s="74" t="inlineStr">
        <x:is>
          <x:t xml:space="preserve">az-only</x:t>
        </x:is>
      </x:c>
      <x:c r="E51" s="3" t="n">
        <x:v>1</x:v>
      </x:c>
      <x:c r="F51" s="3" t="n">
        <x:v>0</x:v>
      </x:c>
      <x:c r="G51" s="3" t="inlineStr">
        <x:is>
          <x:t xml:space="preserve">tarperprumig</x:t>
        </x:is>
      </x:c>
      <x:c r="H51" s="3" t="inlineStr">
        <x:is>
          <x:t xml:space="preserve"/>
        </x:is>
      </x:c>
      <x:c r="I51" s="73" t="inlineStr">
        <x:is>
          <x:t xml:space="preserve">https://www.astrazeneca.com/content/dam/az/Investor_Relations/annual-report-2025/pdf/AstraZeneca_Development_Pipeline_2025.pdf</x:t>
        </x:is>
      </x:c>
      <x:c r="J51" s="73" t="inlineStr">
        <x:is>
          <x:t xml:space="preserve">https://annual-report.bms.com/assets/bms-ar/documents/2025/2025-bms-development-portfolio.pdf</x:t>
        </x:is>
      </x:c>
    </x:row>
    <x:row r="52">
      <x:c r="A52" s="3" t="inlineStr">
        <x:is>
          <x:t xml:space="preserve">Rare disease</x:t>
        </x:is>
      </x:c>
      <x:c r="B52" s="3" t="inlineStr">
        <x:is>
          <x:t xml:space="preserve">mAb / nanobody</x:t>
        </x:is>
      </x:c>
      <x:c r="C52" s="3" t="inlineStr">
        <x:is>
          <x:t xml:space="preserve">AL amyloidosis</x:t>
        </x:is>
      </x:c>
      <x:c r="D52" s="74" t="inlineStr">
        <x:is>
          <x:t xml:space="preserve">az-only</x:t>
        </x:is>
      </x:c>
      <x:c r="E52" s="3" t="n">
        <x:v>1</x:v>
      </x:c>
      <x:c r="F52" s="3" t="n">
        <x:v>0</x:v>
      </x:c>
      <x:c r="G52" s="3" t="inlineStr">
        <x:is>
          <x:t xml:space="preserve">anselamimab</x:t>
        </x:is>
      </x:c>
      <x:c r="H52" s="3" t="inlineStr">
        <x:is>
          <x:t xml:space="preserve"/>
        </x:is>
      </x:c>
      <x:c r="I52" s="73" t="inlineStr">
        <x:is>
          <x:t xml:space="preserve">https://www.astrazeneca.com/content/dam/az/Investor_Relations/annual-report-2025/pdf/AstraZeneca_Development_Pipeline_2025.pdf</x:t>
        </x:is>
      </x:c>
      <x:c r="J52" s="73" t="inlineStr">
        <x:is>
          <x:t xml:space="preserve">https://annual-report.bms.com/assets/bms-ar/documents/2025/2025-bms-development-portfolio.pdf</x:t>
        </x:is>
      </x:c>
    </x:row>
    <x:row r="53">
      <x:c r="A53" s="3" t="inlineStr">
        <x:is>
          <x:t xml:space="preserve">Rare disease</x:t>
        </x:is>
      </x:c>
      <x:c r="B53" s="3" t="inlineStr">
        <x:is>
          <x:t xml:space="preserve">mAb / nanobody</x:t>
        </x:is>
      </x:c>
      <x:c r="C53" s="3" t="inlineStr">
        <x:is>
          <x:t xml:space="preserve">ATTR-CM</x:t>
        </x:is>
      </x:c>
      <x:c r="D53" s="74" t="inlineStr">
        <x:is>
          <x:t xml:space="preserve">az-only</x:t>
        </x:is>
      </x:c>
      <x:c r="E53" s="3" t="n">
        <x:v>1</x:v>
      </x:c>
      <x:c r="F53" s="3" t="n">
        <x:v>0</x:v>
      </x:c>
      <x:c r="G53" s="3" t="inlineStr">
        <x:is>
          <x:t xml:space="preserve">cliramitug</x:t>
        </x:is>
      </x:c>
      <x:c r="H53" s="3" t="inlineStr">
        <x:is>
          <x:t xml:space="preserve"/>
        </x:is>
      </x:c>
      <x:c r="I53" s="73" t="inlineStr">
        <x:is>
          <x:t xml:space="preserve">https://www.astrazeneca.com/content/dam/az/Investor_Relations/annual-report-2025/pdf/AstraZeneca_Development_Pipeline_2025.pdf</x:t>
        </x:is>
      </x:c>
      <x:c r="J53" s="73" t="inlineStr">
        <x:is>
          <x:t xml:space="preserve">https://annual-report.bms.com/assets/bms-ar/documents/2025/2025-bms-development-portfolio.pdf</x:t>
        </x:is>
      </x:c>
    </x:row>
    <x:row r="54">
      <x:c r="A54" s="3" t="inlineStr">
        <x:is>
          <x:t xml:space="preserve">Rare disease</x:t>
        </x:is>
      </x:c>
      <x:c r="B54" s="3" t="inlineStr">
        <x:is>
          <x:t xml:space="preserve">mAb / nanobody</x:t>
        </x:is>
      </x:c>
      <x:c r="C54" s="3" t="inlineStr">
        <x:is>
          <x:t xml:space="preserve">gMG</x:t>
        </x:is>
      </x:c>
      <x:c r="D54" s="74" t="inlineStr">
        <x:is>
          <x:t xml:space="preserve">az-only</x:t>
        </x:is>
      </x:c>
      <x:c r="E54" s="3" t="n">
        <x:v>1</x:v>
      </x:c>
      <x:c r="F54" s="3" t="n">
        <x:v>0</x:v>
      </x:c>
      <x:c r="G54" s="3" t="inlineStr">
        <x:is>
          <x:t xml:space="preserve">gefurulimab</x:t>
        </x:is>
      </x:c>
      <x:c r="H54" s="3" t="inlineStr">
        <x:is>
          <x:t xml:space="preserve"/>
        </x:is>
      </x:c>
      <x:c r="I54" s="73" t="inlineStr">
        <x:is>
          <x:t xml:space="preserve">https://www.astrazeneca.com/content/dam/az/Investor_Relations/annual-report-2025/pdf/AstraZeneca_Development_Pipeline_2025.pdf</x:t>
        </x:is>
      </x:c>
      <x:c r="J54" s="73" t="inlineStr">
        <x:is>
          <x:t xml:space="preserve">https://annual-report.bms.com/assets/bms-ar/documents/2025/2025-bms-development-portfolio.pdf</x:t>
        </x:is>
      </x:c>
    </x:row>
    <x:row r="55">
      <x:c r="A55" s="3" t="inlineStr">
        <x:is>
          <x:t xml:space="preserve">Rare disease</x:t>
        </x:is>
      </x:c>
      <x:c r="B55" s="3" t="inlineStr">
        <x:is>
          <x:t xml:space="preserve">Enzyme replacement</x:t>
        </x:is>
      </x:c>
      <x:c r="C55" s="3" t="inlineStr">
        <x:is>
          <x:t xml:space="preserve">Hypophosphatasia</x:t>
        </x:is>
      </x:c>
      <x:c r="D55" s="74" t="inlineStr">
        <x:is>
          <x:t xml:space="preserve">az-only</x:t>
        </x:is>
      </x:c>
      <x:c r="E55" s="3" t="n">
        <x:v>1</x:v>
      </x:c>
      <x:c r="F55" s="3" t="n">
        <x:v>0</x:v>
      </x:c>
      <x:c r="G55" s="3" t="inlineStr">
        <x:is>
          <x:t xml:space="preserve">efzimfotase alfa</x:t>
        </x:is>
      </x:c>
      <x:c r="H55" s="3" t="inlineStr">
        <x:is>
          <x:t xml:space="preserve"/>
        </x:is>
      </x:c>
      <x:c r="I55" s="73" t="inlineStr">
        <x:is>
          <x:t xml:space="preserve">https://www.astrazeneca.com/content/dam/az/Investor_Relations/annual-report-2025/pdf/AstraZeneca_Development_Pipeline_2025.pdf</x:t>
        </x:is>
      </x:c>
      <x:c r="J55" s="73" t="inlineStr">
        <x:is>
          <x:t xml:space="preserve">https://annual-report.bms.com/assets/bms-ar/documents/2025/2025-bms-development-portfolio.pdf</x:t>
        </x:is>
      </x:c>
    </x:row>
    <x:row r="56">
      <x:c r="A56" s="3" t="inlineStr">
        <x:is>
          <x:t xml:space="preserve">Rare disease</x:t>
        </x:is>
      </x:c>
      <x:c r="B56" s="3" t="inlineStr">
        <x:is>
          <x:t xml:space="preserve">Peptide / receptor agonist-antagonist</x:t>
        </x:is>
      </x:c>
      <x:c r="C56" s="3" t="inlineStr">
        <x:is>
          <x:t xml:space="preserve">Acromegaly</x:t>
        </x:is>
      </x:c>
      <x:c r="D56" s="74" t="inlineStr">
        <x:is>
          <x:t xml:space="preserve">az-only</x:t>
        </x:is>
      </x:c>
      <x:c r="E56" s="3" t="n">
        <x:v>1</x:v>
      </x:c>
      <x:c r="F56" s="3" t="n">
        <x:v>0</x:v>
      </x:c>
      <x:c r="G56" s="3" t="inlineStr">
        <x:is>
          <x:t xml:space="preserve">ALXN2420</x:t>
        </x:is>
      </x:c>
      <x:c r="H56" s="3" t="inlineStr">
        <x:is>
          <x:t xml:space="preserve"/>
        </x:is>
      </x:c>
      <x:c r="I56" s="73" t="inlineStr">
        <x:is>
          <x:t xml:space="preserve">https://www.astrazeneca.com/content/dam/az/Investor_Relations/annual-report-2025/pdf/AstraZeneca_Development_Pipeline_2025.pdf</x:t>
        </x:is>
      </x:c>
      <x:c r="J56" s="73" t="inlineStr">
        <x:is>
          <x:t xml:space="preserve">https://annual-report.bms.com/assets/bms-ar/documents/2025/2025-bms-development-portfolio.pdf</x:t>
        </x:is>
      </x:c>
    </x:row>
    <x:row r="57">
      <x:c r="A57" s="3" t="inlineStr">
        <x:is>
          <x:t xml:space="preserve">Rare disease</x:t>
        </x:is>
      </x:c>
      <x:c r="B57" s="3" t="inlineStr">
        <x:is>
          <x:t xml:space="preserve">Peptide / receptor agonist-antagonist</x:t>
        </x:is>
      </x:c>
      <x:c r="C57" s="3" t="inlineStr">
        <x:is>
          <x:t xml:space="preserve">Hypoparathyroidism</x:t>
        </x:is>
      </x:c>
      <x:c r="D57" s="74" t="inlineStr">
        <x:is>
          <x:t xml:space="preserve">az-only</x:t>
        </x:is>
      </x:c>
      <x:c r="E57" s="3" t="n">
        <x:v>1</x:v>
      </x:c>
      <x:c r="F57" s="3" t="n">
        <x:v>0</x:v>
      </x:c>
      <x:c r="G57" s="3" t="inlineStr">
        <x:is>
          <x:t xml:space="preserve">eneboparatide</x:t>
        </x:is>
      </x:c>
      <x:c r="H57" s="3" t="inlineStr">
        <x:is>
          <x:t xml:space="preserve"/>
        </x:is>
      </x:c>
      <x:c r="I57" s="73" t="inlineStr">
        <x:is>
          <x:t xml:space="preserve">https://www.astrazeneca.com/content/dam/az/Investor_Relations/annual-report-2025/pdf/AstraZeneca_Development_Pipeline_2025.pdf</x:t>
        </x:is>
      </x:c>
      <x:c r="J57" s="73" t="inlineStr">
        <x:is>
          <x:t xml:space="preserve">https://annual-report.bms.com/assets/bms-ar/documents/2025/2025-bms-development-portfolio.pdf</x:t>
        </x:is>
      </x:c>
    </x:row>
    <x:row r="58">
      <x:c r="A58" s="3" t="inlineStr">
        <x:is>
          <x:t xml:space="preserve">Renal &amp; metabolic</x:t>
        </x:is>
      </x:c>
      <x:c r="B58" s="3" t="inlineStr">
        <x:is>
          <x:t xml:space="preserve">Peptide / incretin</x:t>
        </x:is>
      </x:c>
      <x:c r="C58" s="3" t="inlineStr">
        <x:is>
          <x:t xml:space="preserve">Obesity / weight management</x:t>
        </x:is>
      </x:c>
      <x:c r="D58" s="74" t="inlineStr">
        <x:is>
          <x:t xml:space="preserve">az-only</x:t>
        </x:is>
      </x:c>
      <x:c r="E58" s="3" t="n">
        <x:v>1</x:v>
      </x:c>
      <x:c r="F58" s="3" t="n">
        <x:v>0</x:v>
      </x:c>
      <x:c r="G58" s="3" t="inlineStr">
        <x:is>
          <x:t xml:space="preserve">AZD6234</x:t>
        </x:is>
      </x:c>
      <x:c r="H58" s="3" t="inlineStr">
        <x:is>
          <x:t xml:space="preserve"/>
        </x:is>
      </x:c>
      <x:c r="I58" s="73" t="inlineStr">
        <x:is>
          <x:t xml:space="preserve">https://www.astrazeneca.com/content/dam/az/Investor_Relations/annual-report-2025/pdf/AstraZeneca_Development_Pipeline_2025.pdf</x:t>
        </x:is>
      </x:c>
      <x:c r="J58" s="73" t="inlineStr">
        <x:is>
          <x:t xml:space="preserve">https://annual-report.bms.com/assets/bms-ar/documents/2025/2025-bms-development-portfolio.pdf</x:t>
        </x:is>
      </x:c>
    </x:row>
    <x:row r="59">
      <x:c r="A59" s="3" t="inlineStr">
        <x:is>
          <x:t xml:space="preserve">Renal &amp; metabolic</x:t>
        </x:is>
      </x:c>
      <x:c r="B59" s="3" t="inlineStr">
        <x:is>
          <x:t xml:space="preserve">Oral small molecule</x:t>
        </x:is>
      </x:c>
      <x:c r="C59" s="3" t="inlineStr">
        <x:is>
          <x:t xml:space="preserve">Obesity / weight management</x:t>
        </x:is>
      </x:c>
      <x:c r="D59" s="74" t="inlineStr">
        <x:is>
          <x:t xml:space="preserve">az-only</x:t>
        </x:is>
      </x:c>
      <x:c r="E59" s="3" t="n">
        <x:v>1</x:v>
      </x:c>
      <x:c r="F59" s="3" t="n">
        <x:v>0</x:v>
      </x:c>
      <x:c r="G59" s="3" t="inlineStr">
        <x:is>
          <x:t xml:space="preserve">elecoglipron (AZD5004)</x:t>
        </x:is>
      </x:c>
      <x:c r="H59" s="3" t="inlineStr">
        <x:is>
          <x:t xml:space="preserve"/>
        </x:is>
      </x:c>
      <x:c r="I59" s="73" t="inlineStr">
        <x:is>
          <x:t xml:space="preserve">https://www.astrazeneca.com/content/dam/az/Investor_Relations/annual-report-2025/pdf/AstraZeneca_Development_Pipeline_2025.pdf</x:t>
        </x:is>
      </x:c>
      <x:c r="J59" s="73" t="inlineStr">
        <x:is>
          <x:t xml:space="preserve">https://annual-report.bms.com/assets/bms-ar/documents/2025/2025-bms-development-portfolio.pdf</x:t>
        </x:is>
      </x:c>
    </x:row>
    <x:row r="60">
      <x:c r="A60" s="3" t="inlineStr">
        <x:is>
          <x:t xml:space="preserve">Renal &amp; metabolic</x:t>
        </x:is>
      </x:c>
      <x:c r="B60" s="3" t="inlineStr">
        <x:is>
          <x:t xml:space="preserve">Oral small molecule</x:t>
        </x:is>
      </x:c>
      <x:c r="C60" s="3" t="inlineStr">
        <x:is>
          <x:t xml:space="preserve">Type 2 diabetes</x:t>
        </x:is>
      </x:c>
      <x:c r="D60" s="74" t="inlineStr">
        <x:is>
          <x:t xml:space="preserve">az-only</x:t>
        </x:is>
      </x:c>
      <x:c r="E60" s="3" t="n">
        <x:v>1</x:v>
      </x:c>
      <x:c r="F60" s="3" t="n">
        <x:v>0</x:v>
      </x:c>
      <x:c r="G60" s="3" t="inlineStr">
        <x:is>
          <x:t xml:space="preserve">elecoglipron (AZD5004)</x:t>
        </x:is>
      </x:c>
      <x:c r="H60" s="3" t="inlineStr">
        <x:is>
          <x:t xml:space="preserve"/>
        </x:is>
      </x:c>
      <x:c r="I60" s="73" t="inlineStr">
        <x:is>
          <x:t xml:space="preserve">https://www.astrazeneca.com/content/dam/az/Investor_Relations/annual-report-2025/pdf/AstraZeneca_Development_Pipeline_2025.pdf</x:t>
        </x:is>
      </x:c>
      <x:c r="J60" s="73" t="inlineStr">
        <x:is>
          <x:t xml:space="preserve">https://annual-report.bms.com/assets/bms-ar/documents/2025/2025-bms-development-portfolio.pdf</x:t>
        </x:is>
      </x:c>
    </x:row>
    <x:row r="61">
      <x:c r="A61" s="3" t="inlineStr">
        <x:is>
          <x:t xml:space="preserve">Renal &amp; metabolic</x:t>
        </x:is>
      </x:c>
      <x:c r="B61" s="3" t="inlineStr">
        <x:is>
          <x:t xml:space="preserve">Combination therapy</x:t>
        </x:is>
      </x:c>
      <x:c r="C61" s="3" t="inlineStr">
        <x:is>
          <x:t xml:space="preserve">Obesity / weight management</x:t>
        </x:is>
      </x:c>
      <x:c r="D61" s="74" t="inlineStr">
        <x:is>
          <x:t xml:space="preserve">az-only</x:t>
        </x:is>
      </x:c>
      <x:c r="E61" s="3" t="n">
        <x:v>1</x:v>
      </x:c>
      <x:c r="F61" s="3" t="n">
        <x:v>0</x:v>
      </x:c>
      <x:c r="G61" s="3" t="inlineStr">
        <x:is>
          <x:t xml:space="preserve">AZD9550 + AZD6234</x:t>
        </x:is>
      </x:c>
      <x:c r="H61" s="3" t="inlineStr">
        <x:is>
          <x:t xml:space="preserve"/>
        </x:is>
      </x:c>
      <x:c r="I61" s="73" t="inlineStr">
        <x:is>
          <x:t xml:space="preserve">https://www.astrazeneca.com/content/dam/az/Investor_Relations/annual-report-2025/pdf/AstraZeneca_Development_Pipeline_2025.pdf</x:t>
        </x:is>
      </x:c>
      <x:c r="J61" s="73" t="inlineStr">
        <x:is>
          <x:t xml:space="preserve">https://annual-report.bms.com/assets/bms-ar/documents/2025/2025-bms-development-portfolio.pdf</x:t>
        </x:is>
      </x:c>
    </x:row>
    <x:row r="62">
      <x:c r="A62" s="3" t="inlineStr">
        <x:is>
          <x:t xml:space="preserve">Renal &amp; metabolic</x:t>
        </x:is>
      </x:c>
      <x:c r="B62" s="3" t="inlineStr">
        <x:is>
          <x:t xml:space="preserve">Combination therapy</x:t>
        </x:is>
      </x:c>
      <x:c r="C62" s="3" t="inlineStr">
        <x:is>
          <x:t xml:space="preserve">CKD / proteinuria</x:t>
        </x:is>
      </x:c>
      <x:c r="D62" s="74" t="inlineStr">
        <x:is>
          <x:t xml:space="preserve">az-only</x:t>
        </x:is>
      </x:c>
      <x:c r="E62" s="3" t="n">
        <x:v>2</x:v>
      </x:c>
      <x:c r="F62" s="3" t="n">
        <x:v>0</x:v>
      </x:c>
      <x:c r="G62" s="3" t="inlineStr">
        <x:is>
          <x:t xml:space="preserve">balcinrenone / dapagliflozin; zibotentan / dapagliflozin</x:t>
        </x:is>
      </x:c>
      <x:c r="H62" s="3" t="inlineStr">
        <x:is>
          <x:t xml:space="preserve"/>
        </x:is>
      </x:c>
      <x:c r="I62" s="73" t="inlineStr">
        <x:is>
          <x:t xml:space="preserve">https://www.astrazeneca.com/content/dam/az/Investor_Relations/annual-report-2025/pdf/AstraZeneca_Development_Pipeline_2025.pdf</x:t>
        </x:is>
      </x:c>
      <x:c r="J62" s="73" t="inlineStr">
        <x:is>
          <x:t xml:space="preserve">https://annual-report.bms.com/assets/bms-ar/documents/2025/2025-bms-development-portfolio.pdf</x:t>
        </x:is>
      </x:c>
    </x:row>
    <x:row r="63">
      <x:c r="A63" s="3" t="inlineStr">
        <x:is>
          <x:t xml:space="preserve">Renal &amp; metabolic</x:t>
        </x:is>
      </x:c>
      <x:c r="B63" s="3" t="inlineStr">
        <x:is>
          <x:t xml:space="preserve">Combination therapy</x:t>
        </x:is>
      </x:c>
      <x:c r="C63" s="3" t="inlineStr">
        <x:is>
          <x:t xml:space="preserve">HF with CKD</x:t>
        </x:is>
      </x:c>
      <x:c r="D63" s="74" t="inlineStr">
        <x:is>
          <x:t xml:space="preserve">az-only</x:t>
        </x:is>
      </x:c>
      <x:c r="E63" s="3" t="n">
        <x:v>1</x:v>
      </x:c>
      <x:c r="F63" s="3" t="n">
        <x:v>0</x:v>
      </x:c>
      <x:c r="G63" s="3" t="inlineStr">
        <x:is>
          <x:t xml:space="preserve">balcinrenone / dapagliflozin</x:t>
        </x:is>
      </x:c>
      <x:c r="H63" s="3" t="inlineStr">
        <x:is>
          <x:t xml:space="preserve"/>
        </x:is>
      </x:c>
      <x:c r="I63" s="73" t="inlineStr">
        <x:is>
          <x:t xml:space="preserve">https://www.astrazeneca.com/content/dam/az/Investor_Relations/annual-report-2025/pdf/AstraZeneca_Development_Pipeline_2025.pdf</x:t>
        </x:is>
      </x:c>
      <x:c r="J63" s="73" t="inlineStr">
        <x:is>
          <x:t xml:space="preserve">https://annual-report.bms.com/assets/bms-ar/documents/2025/2025-bms-development-portfolio.pdf</x:t>
        </x:is>
      </x:c>
    </x:row>
    <x:row r="64">
      <x:c r="A64" s="3" t="inlineStr">
        <x:is>
          <x:t xml:space="preserve">Renal &amp; metabolic</x:t>
        </x:is>
      </x:c>
      <x:c r="B64" s="3" t="inlineStr">
        <x:is>
          <x:t xml:space="preserve">Other targeted / RNA</x:t>
        </x:is>
      </x:c>
      <x:c r="C64" s="3" t="inlineStr">
        <x:is>
          <x:t xml:space="preserve">MASH</x:t>
        </x:is>
      </x:c>
      <x:c r="D64" s="74" t="inlineStr">
        <x:is>
          <x:t xml:space="preserve">az-only</x:t>
        </x:is>
      </x:c>
      <x:c r="E64" s="3" t="n">
        <x:v>1</x:v>
      </x:c>
      <x:c r="F64" s="3" t="n">
        <x:v>0</x:v>
      </x:c>
      <x:c r="G64" s="3" t="inlineStr">
        <x:is>
          <x:t xml:space="preserve">AZD2389</x:t>
        </x:is>
      </x:c>
      <x:c r="H64" s="3" t="inlineStr">
        <x:is>
          <x:t xml:space="preserve"/>
        </x:is>
      </x:c>
      <x:c r="I64" s="73" t="inlineStr">
        <x:is>
          <x:t xml:space="preserve">https://www.astrazeneca.com/content/dam/az/Investor_Relations/annual-report-2025/pdf/AstraZeneca_Development_Pipeline_2025.pdf</x:t>
        </x:is>
      </x:c>
      <x:c r="J64" s="73" t="inlineStr">
        <x:is>
          <x:t xml:space="preserve">https://annual-report.bms.com/assets/bms-ar/documents/2025/2025-bms-development-portfolio.pdf</x:t>
        </x:is>
      </x:c>
    </x:row>
    <x:row r="65">
      <x:c r="A65" s="3" t="inlineStr">
        <x:is>
          <x:t xml:space="preserve">Renal &amp; metabolic</x:t>
        </x:is>
      </x:c>
      <x:c r="B65" s="3" t="inlineStr">
        <x:is>
          <x:t xml:space="preserve">Other targeted / RNA</x:t>
        </x:is>
      </x:c>
      <x:c r="C65" s="3" t="inlineStr">
        <x:is>
          <x:t xml:space="preserve">Nephropathy</x:t>
        </x:is>
      </x:c>
      <x:c r="D65" s="74" t="inlineStr">
        <x:is>
          <x:t xml:space="preserve">az-only</x:t>
        </x:is>
      </x:c>
      <x:c r="E65" s="3" t="n">
        <x:v>1</x:v>
      </x:c>
      <x:c r="F65" s="3" t="n">
        <x:v>0</x:v>
      </x:c>
      <x:c r="G65" s="3" t="inlineStr">
        <x:is>
          <x:t xml:space="preserve">opemalirsen</x:t>
        </x:is>
      </x:c>
      <x:c r="H65" s="3" t="inlineStr">
        <x:is>
          <x:t xml:space="preserve"/>
        </x:is>
      </x:c>
      <x:c r="I65" s="73" t="inlineStr">
        <x:is>
          <x:t xml:space="preserve">https://www.astrazeneca.com/content/dam/az/Investor_Relations/annual-report-2025/pdf/AstraZeneca_Development_Pipeline_2025.pdf</x:t>
        </x:is>
      </x:c>
      <x:c r="J65" s="73" t="inlineStr">
        <x:is>
          <x:t xml:space="preserve">https://annual-report.bms.com/assets/bms-ar/documents/2025/2025-bms-development-portfolio.pdf</x:t>
        </x:is>
      </x:c>
    </x:row>
    <x:row r="66">
      <x:c r="A66" s="3" t="inlineStr">
        <x:is>
          <x:t xml:space="preserve">Infectious disease</x:t>
        </x:is>
      </x:c>
      <x:c r="B66" s="3" t="inlineStr">
        <x:is>
          <x:t xml:space="preserve">Bispecific antibody</x:t>
        </x:is>
      </x:c>
      <x:c r="C66" s="3" t="inlineStr">
        <x:is>
          <x:t xml:space="preserve">Bronchiectasis / Pseudomonas</x:t>
        </x:is>
      </x:c>
      <x:c r="D66" s="74" t="inlineStr">
        <x:is>
          <x:t xml:space="preserve">az-only</x:t>
        </x:is>
      </x:c>
      <x:c r="E66" s="3" t="n">
        <x:v>1</x:v>
      </x:c>
      <x:c r="F66" s="3" t="n">
        <x:v>0</x:v>
      </x:c>
      <x:c r="G66" s="3" t="inlineStr">
        <x:is>
          <x:t xml:space="preserve">AZD0292</x:t>
        </x:is>
      </x:c>
      <x:c r="H66" s="3" t="inlineStr">
        <x:is>
          <x:t xml:space="preserve"/>
        </x:is>
      </x:c>
      <x:c r="I66" s="73" t="inlineStr">
        <x:is>
          <x:t xml:space="preserve">https://www.astrazeneca.com/content/dam/az/Investor_Relations/annual-report-2025/pdf/AstraZeneca_Development_Pipeline_2025.pdf</x:t>
        </x:is>
      </x:c>
      <x:c r="J66" s="73" t="inlineStr">
        <x:is>
          <x:t xml:space="preserve">https://annual-report.bms.com/assets/bms-ar/documents/2025/2025-bms-development-portfolio.pdf</x:t>
        </x:is>
      </x:c>
    </x:row>
    <x:row r="67">
      <x:c r="A67" s="3" t="inlineStr">
        <x:is>
          <x:t xml:space="preserve">Infectious disease</x:t>
        </x:is>
      </x:c>
      <x:c r="B67" s="3" t="inlineStr">
        <x:is>
          <x:t xml:space="preserve">Monoclonal antibody</x:t>
        </x:is>
      </x:c>
      <x:c r="C67" s="3" t="inlineStr">
        <x:is>
          <x:t xml:space="preserve">C. difficile recurrence</x:t>
        </x:is>
      </x:c>
      <x:c r="D67" s="74" t="inlineStr">
        <x:is>
          <x:t xml:space="preserve">az-only</x:t>
        </x:is>
      </x:c>
      <x:c r="E67" s="3" t="n">
        <x:v>1</x:v>
      </x:c>
      <x:c r="F67" s="3" t="n">
        <x:v>0</x:v>
      </x:c>
      <x:c r="G67" s="3" t="inlineStr">
        <x:is>
          <x:t xml:space="preserve">AZD5148</x:t>
        </x:is>
      </x:c>
      <x:c r="H67" s="3" t="inlineStr">
        <x:is>
          <x:t xml:space="preserve"/>
        </x:is>
      </x:c>
      <x:c r="I67" s="73" t="inlineStr">
        <x:is>
          <x:t xml:space="preserve">https://www.astrazeneca.com/content/dam/az/Investor_Relations/annual-report-2025/pdf/AstraZeneca_Development_Pipeline_2025.pdf</x:t>
        </x:is>
      </x:c>
      <x:c r="J67" s="73" t="inlineStr">
        <x:is>
          <x:t xml:space="preserve">https://annual-report.bms.com/assets/bms-ar/documents/2025/2025-bms-development-portfolio.pdf</x:t>
        </x:is>
      </x:c>
    </x:row>
    <x:row r="68">
      <x:c r="A68" s="3" t="inlineStr">
        <x:is>
          <x:t xml:space="preserve">Infectious disease</x:t>
        </x:is>
      </x:c>
      <x:c r="B68" s="3" t="inlineStr">
        <x:is>
          <x:t xml:space="preserve">Antibody combination</x:t>
        </x:is>
      </x:c>
      <x:c r="C68" s="3" t="inlineStr">
        <x:is>
          <x:t xml:space="preserve">S. aureus prevention</x:t>
        </x:is>
      </x:c>
      <x:c r="D68" s="74" t="inlineStr">
        <x:is>
          <x:t xml:space="preserve">az-only</x:t>
        </x:is>
      </x:c>
      <x:c r="E68" s="3" t="n">
        <x:v>1</x:v>
      </x:c>
      <x:c r="F68" s="3" t="n">
        <x:v>0</x:v>
      </x:c>
      <x:c r="G68" s="3" t="inlineStr">
        <x:is>
          <x:t xml:space="preserve">AZD7760</x:t>
        </x:is>
      </x:c>
      <x:c r="H68" s="3" t="inlineStr">
        <x:is>
          <x:t xml:space="preserve"/>
        </x:is>
      </x:c>
      <x:c r="I68" s="73" t="inlineStr">
        <x:is>
          <x:t xml:space="preserve">https://www.astrazeneca.com/content/dam/az/Investor_Relations/annual-report-2025/pdf/AstraZeneca_Development_Pipeline_2025.pdf</x:t>
        </x:is>
      </x:c>
      <x:c r="J68" s="73" t="inlineStr">
        <x:is>
          <x:t xml:space="preserve">https://annual-report.bms.com/assets/bms-ar/documents/2025/2025-bms-development-portfolio.pdf</x:t>
        </x:is>
      </x:c>
    </x:row>
    <x:row r="69">
      <x:c r="A69" s="3" t="inlineStr">
        <x:is>
          <x:t xml:space="preserve">Neuroscience</x:t>
        </x:is>
      </x:c>
      <x:c r="B69" s="3" t="inlineStr">
        <x:is>
          <x:t xml:space="preserve">Monoclonal antibody</x:t>
        </x:is>
      </x:c>
      <x:c r="C69" s="3" t="inlineStr">
        <x:is>
          <x:t xml:space="preserve">Alzheimer's disease</x:t>
        </x:is>
      </x:c>
      <x:c r="D69" s="72" t="inlineStr">
        <x:is>
          <x:t xml:space="preserve">bms-only</x:t>
        </x:is>
      </x:c>
      <x:c r="E69" s="3" t="n">
        <x:v>0</x:v>
      </x:c>
      <x:c r="F69" s="3" t="n">
        <x:v>1</x:v>
      </x:c>
      <x:c r="G69" s="3" t="inlineStr">
        <x:is>
          <x:t xml:space="preserve"/>
        </x:is>
      </x:c>
      <x:c r="H69" s="3" t="inlineStr">
        <x:is>
          <x:t xml:space="preserve">anti-MTBR tau</x:t>
        </x:is>
      </x:c>
      <x:c r="I69" s="73" t="inlineStr">
        <x:is>
          <x:t xml:space="preserve">https://www.astrazeneca.com/content/dam/az/Investor_Relations/annual-report-2025/pdf/AstraZeneca_Development_Pipeline_2025.pdf</x:t>
        </x:is>
      </x:c>
      <x:c r="J69" s="73" t="inlineStr">
        <x:is>
          <x:t xml:space="preserve">https://annual-report.bms.com/assets/bms-ar/documents/2025/2025-bms-development-portfolio.pdf</x:t>
        </x:is>
      </x:c>
    </x:row>
    <x:row r="70">
      <x:c r="A70" s="3" t="inlineStr">
        <x:is>
          <x:t xml:space="preserve">Neuroscience</x:t>
        </x:is>
      </x:c>
      <x:c r="B70" s="3" t="inlineStr">
        <x:is>
          <x:t xml:space="preserve">Small molecule</x:t>
        </x:is>
      </x:c>
      <x:c r="C70" s="3" t="inlineStr">
        <x:is>
          <x:t xml:space="preserve">AD agitation</x:t>
        </x:is>
      </x:c>
      <x:c r="D70" s="72" t="inlineStr">
        <x:is>
          <x:t xml:space="preserve">bms-only</x:t>
        </x:is>
      </x:c>
      <x:c r="E70" s="3" t="n">
        <x:v>0</x:v>
      </x:c>
      <x:c r="F70" s="3" t="n">
        <x:v>1</x:v>
      </x:c>
      <x:c r="G70" s="3" t="inlineStr">
        <x:is>
          <x:t xml:space="preserve"/>
        </x:is>
      </x:c>
      <x:c r="H70" s="3" t="inlineStr">
        <x:is>
          <x:t xml:space="preserve">FAAH/MAGL dual inhibitor</x:t>
        </x:is>
      </x:c>
      <x:c r="I70" s="73" t="inlineStr">
        <x:is>
          <x:t xml:space="preserve">https://www.astrazeneca.com/content/dam/az/Investor_Relations/annual-report-2025/pdf/AstraZeneca_Development_Pipeline_2025.pdf</x:t>
        </x:is>
      </x:c>
      <x:c r="J70" s="73" t="inlineStr">
        <x:is>
          <x:t xml:space="preserve">https://annual-report.bms.com/assets/bms-ar/documents/2025/2025-bms-development-portfolio.pdf</x:t>
        </x:is>
      </x:c>
    </x:row>
    <x:row r="71">
      <x:c r="A71" s="3" t="inlineStr">
        <x:is>
          <x:t xml:space="preserve">Neuroscience</x:t>
        </x:is>
      </x:c>
      <x:c r="B71" s="3" t="inlineStr">
        <x:is>
          <x:t xml:space="preserve">Small molecule</x:t>
        </x:is>
      </x:c>
      <x:c r="C71" s="3" t="inlineStr">
        <x:is>
          <x:t xml:space="preserve">MS spasticity</x:t>
        </x:is>
      </x:c>
      <x:c r="D71" s="72" t="inlineStr">
        <x:is>
          <x:t xml:space="preserve">bms-only</x:t>
        </x:is>
      </x:c>
      <x:c r="E71" s="3" t="n">
        <x:v>0</x:v>
      </x:c>
      <x:c r="F71" s="3" t="n">
        <x:v>1</x:v>
      </x:c>
      <x:c r="G71" s="3" t="inlineStr">
        <x:is>
          <x:t xml:space="preserve"/>
        </x:is>
      </x:c>
      <x:c r="H71" s="3" t="inlineStr">
        <x:is>
          <x:t xml:space="preserve">FAAH/MAGL dual inhibitor</x:t>
        </x:is>
      </x:c>
      <x:c r="I71" s="73" t="inlineStr">
        <x:is>
          <x:t xml:space="preserve">https://www.astrazeneca.com/content/dam/az/Investor_Relations/annual-report-2025/pdf/AstraZeneca_Development_Pipeline_2025.pdf</x:t>
        </x:is>
      </x:c>
      <x:c r="J71" s="73" t="inlineStr">
        <x:is>
          <x:t xml:space="preserve">https://annual-report.bms.com/assets/bms-ar/documents/2025/2025-bms-development-portfolio.pdf</x:t>
        </x:is>
      </x:c>
    </x:row>
  </x:sheetData>
  <x:mergeCells>
    <x:mergeCell ref="A1:J1"/>
    <x:mergeCell ref="A2:J2"/>
  </x:mergeCells>
  <x:pageMargins left="0.7" right="0.7" top="0.75" bottom="0.75" header="0.3" footer="0.3"/>
  <x:tableParts count="1">
    <x:tablePart xmlns:r="http://schemas.openxmlformats.org/officeDocument/2006/relationships" r:id="R7fe17536e030435a"/>
  </x:tableParts>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24" customWidth="1"/>
    <x:col min="2" max="2" width="30" customWidth="1"/>
    <x:col min="3" max="3" width="35" customWidth="1"/>
    <x:col min="4" max="4" width="35" customWidth="1"/>
    <x:col min="5" max="5" width="30" customWidth="1"/>
    <x:col min="6" max="6" width="55" customWidth="1"/>
  </x:cols>
  <x:sheetData>
    <x:row r="1">
      <x:c r="A1" s="76" t="inlineStr">
        <x:is>
          <x:t xml:space="preserve">Company</x:t>
        </x:is>
      </x:c>
      <x:c r="B1" s="76" t="inlineStr">
        <x:is>
          <x:t xml:space="preserve">Disease area</x:t>
        </x:is>
      </x:c>
      <x:c r="C1" s="76" t="inlineStr">
        <x:is>
          <x:t xml:space="preserve">Program</x:t>
        </x:is>
      </x:c>
      <x:c r="D1" s="76" t="inlineStr">
        <x:is>
          <x:t xml:space="preserve">Normalized modality family</x:t>
        </x:is>
      </x:c>
      <x:c r="E1" s="76" t="inlineStr">
        <x:is>
          <x:t xml:space="preserve">Normalized indication territory</x:t>
        </x:is>
      </x:c>
      <x:c r="F1" s="76" t="inlineStr">
        <x:is>
          <x:t xml:space="preserve">Source URL</x:t>
        </x:is>
      </x:c>
    </x:row>
    <x:row r="2">
      <x:c r="A2" s="3" t="inlineStr">
        <x:is>
          <x:t xml:space="preserve">Bristol Myers Squibb</x:t>
        </x:is>
      </x:c>
      <x:c r="B2" s="3" t="inlineStr">
        <x:is>
          <x:t xml:space="preserve">Solid-tumor oncology</x:t>
        </x:is>
      </x:c>
      <x:c r="C2" s="3" t="inlineStr">
        <x:is>
          <x:t xml:space="preserve">izalontamab brengitecan (iza-bren)</x:t>
        </x:is>
      </x:c>
      <x:c r="D2" s="3" t="inlineStr">
        <x:is>
          <x:t xml:space="preserve">Antibody-drug conjugate</x:t>
        </x:is>
      </x:c>
      <x:c r="E2" s="3" t="inlineStr">
        <x:is>
          <x:t xml:space="preserve">Breast cancer</x:t>
        </x:is>
      </x:c>
      <x:c r="F2" s="73" t="inlineStr">
        <x:is>
          <x:t xml:space="preserve">https://annual-report.bms.com/assets/bms-ar/documents/2025/2025-bms-development-portfolio.pdf</x:t>
        </x:is>
      </x:c>
    </x:row>
    <x:row r="3">
      <x:c r="A3" s="3" t="inlineStr">
        <x:is>
          <x:t xml:space="preserve">AstraZeneca</x:t>
        </x:is>
      </x:c>
      <x:c r="B3" s="3" t="inlineStr">
        <x:is>
          <x:t xml:space="preserve">Solid-tumor oncology</x:t>
        </x:is>
      </x:c>
      <x:c r="C3" s="3" t="inlineStr">
        <x:is>
          <x:t xml:space="preserve">puxitatug samrotecan</x:t>
        </x:is>
      </x:c>
      <x:c r="D3" s="3" t="inlineStr">
        <x:is>
          <x:t xml:space="preserve">Antibody-drug conjugate</x:t>
        </x:is>
      </x:c>
      <x:c r="E3" s="3" t="inlineStr">
        <x:is>
          <x:t xml:space="preserve">Endometrial cancer</x:t>
        </x:is>
      </x:c>
      <x:c r="F3" s="73" t="inlineStr">
        <x:is>
          <x:t xml:space="preserve">https://www.astrazeneca.com/content/dam/az/Investor_Relations/annual-report-2025/pdf/AstraZeneca_Development_Pipeline_2025.pdf</x:t>
        </x:is>
      </x:c>
    </x:row>
    <x:row r="4">
      <x:c r="A4" s="3" t="inlineStr">
        <x:is>
          <x:t xml:space="preserve">AstraZeneca</x:t>
        </x:is>
      </x:c>
      <x:c r="B4" s="3" t="inlineStr">
        <x:is>
          <x:t xml:space="preserve">Solid-tumor oncology</x:t>
        </x:is>
      </x:c>
      <x:c r="C4" s="3" t="inlineStr">
        <x:is>
          <x:t xml:space="preserve">sonesitatug vedotin</x:t>
        </x:is>
      </x:c>
      <x:c r="D4" s="3" t="inlineStr">
        <x:is>
          <x:t xml:space="preserve">Antibody-drug conjugate</x:t>
        </x:is>
      </x:c>
      <x:c r="E4" s="3" t="inlineStr">
        <x:is>
          <x:t xml:space="preserve">Gastric / GEJ</x:t>
        </x:is>
      </x:c>
      <x:c r="F4" s="73" t="inlineStr">
        <x:is>
          <x:t xml:space="preserve">https://www.astrazeneca.com/content/dam/az/Investor_Relations/annual-report-2025/pdf/AstraZeneca_Development_Pipeline_2025.pdf</x:t>
        </x:is>
      </x:c>
    </x:row>
    <x:row r="5">
      <x:c r="A5" s="3" t="inlineStr">
        <x:is>
          <x:t xml:space="preserve">Bristol Myers Squibb</x:t>
        </x:is>
      </x:c>
      <x:c r="B5" s="3" t="inlineStr">
        <x:is>
          <x:t xml:space="preserve">Solid-tumor oncology</x:t>
        </x:is>
      </x:c>
      <x:c r="C5" s="3" t="inlineStr">
        <x:is>
          <x:t xml:space="preserve">izalontamab brengitecan (iza-bren)</x:t>
        </x:is>
      </x:c>
      <x:c r="D5" s="3" t="inlineStr">
        <x:is>
          <x:t xml:space="preserve">Antibody-drug conjugate</x:t>
        </x:is>
      </x:c>
      <x:c r="E5" s="3" t="inlineStr">
        <x:is>
          <x:t xml:space="preserve">NSCLC</x:t>
        </x:is>
      </x:c>
      <x:c r="F5" s="73" t="inlineStr">
        <x:is>
          <x:t xml:space="preserve">https://annual-report.bms.com/assets/bms-ar/documents/2025/2025-bms-development-portfolio.pdf</x:t>
        </x:is>
      </x:c>
    </x:row>
    <x:row r="6">
      <x:c r="A6" s="3" t="inlineStr">
        <x:is>
          <x:t xml:space="preserve">AstraZeneca</x:t>
        </x:is>
      </x:c>
      <x:c r="B6" s="3" t="inlineStr">
        <x:is>
          <x:t xml:space="preserve">Solid-tumor oncology</x:t>
        </x:is>
      </x:c>
      <x:c r="C6" s="3" t="inlineStr">
        <x:is>
          <x:t xml:space="preserve">puxitatug samrotecan</x:t>
        </x:is>
      </x:c>
      <x:c r="D6" s="3" t="inlineStr">
        <x:is>
          <x:t xml:space="preserve">Antibody-drug conjugate</x:t>
        </x:is>
      </x:c>
      <x:c r="E6" s="3" t="inlineStr">
        <x:is>
          <x:t xml:space="preserve">Other solid tumors</x:t>
        </x:is>
      </x:c>
      <x:c r="F6" s="73" t="inlineStr">
        <x:is>
          <x:t xml:space="preserve">https://www.astrazeneca.com/content/dam/az/Investor_Relations/annual-report-2025/pdf/AstraZeneca_Development_Pipeline_2025.pdf</x:t>
        </x:is>
      </x:c>
    </x:row>
    <x:row r="7">
      <x:c r="A7" s="3" t="inlineStr">
        <x:is>
          <x:t xml:space="preserve">AstraZeneca</x:t>
        </x:is>
      </x:c>
      <x:c r="B7" s="3" t="inlineStr">
        <x:is>
          <x:t xml:space="preserve">Solid-tumor oncology</x:t>
        </x:is>
      </x:c>
      <x:c r="C7" s="3" t="inlineStr">
        <x:is>
          <x:t xml:space="preserve">sonesitatug vedotin</x:t>
        </x:is>
      </x:c>
      <x:c r="D7" s="3" t="inlineStr">
        <x:is>
          <x:t xml:space="preserve">Antibody-drug conjugate</x:t>
        </x:is>
      </x:c>
      <x:c r="E7" s="3" t="inlineStr">
        <x:is>
          <x:t xml:space="preserve">Other solid tumors</x:t>
        </x:is>
      </x:c>
      <x:c r="F7" s="73" t="inlineStr">
        <x:is>
          <x:t xml:space="preserve">https://www.astrazeneca.com/content/dam/az/Investor_Relations/annual-report-2025/pdf/AstraZeneca_Development_Pipeline_2025.pdf</x:t>
        </x:is>
      </x:c>
    </x:row>
    <x:row r="8">
      <x:c r="A8" s="3" t="inlineStr">
        <x:is>
          <x:t xml:space="preserve">AstraZeneca</x:t>
        </x:is>
      </x:c>
      <x:c r="B8" s="3" t="inlineStr">
        <x:is>
          <x:t xml:space="preserve">Solid-tumor oncology</x:t>
        </x:is>
      </x:c>
      <x:c r="C8" s="3" t="inlineStr">
        <x:is>
          <x:t xml:space="preserve">tilatamig samrotecan</x:t>
        </x:is>
      </x:c>
      <x:c r="D8" s="3" t="inlineStr">
        <x:is>
          <x:t xml:space="preserve">Antibody-drug conjugate</x:t>
        </x:is>
      </x:c>
      <x:c r="E8" s="3" t="inlineStr">
        <x:is>
          <x:t xml:space="preserve">Other solid tumors</x:t>
        </x:is>
      </x:c>
      <x:c r="F8" s="73" t="inlineStr">
        <x:is>
          <x:t xml:space="preserve">https://www.astrazeneca.com/content/dam/az/Investor_Relations/annual-report-2025/pdf/AstraZeneca_Development_Pipeline_2025.pdf</x:t>
        </x:is>
      </x:c>
    </x:row>
    <x:row r="9">
      <x:c r="A9" s="3" t="inlineStr">
        <x:is>
          <x:t xml:space="preserve">AstraZeneca</x:t>
        </x:is>
      </x:c>
      <x:c r="B9" s="3" t="inlineStr">
        <x:is>
          <x:t xml:space="preserve">Solid-tumor oncology</x:t>
        </x:is>
      </x:c>
      <x:c r="C9" s="3" t="inlineStr">
        <x:is>
          <x:t xml:space="preserve">torvutatug samrotecan (AZD5335)</x:t>
        </x:is>
      </x:c>
      <x:c r="D9" s="3" t="inlineStr">
        <x:is>
          <x:t xml:space="preserve">Antibody-drug conjugate</x:t>
        </x:is>
      </x:c>
      <x:c r="E9" s="3" t="inlineStr">
        <x:is>
          <x:t xml:space="preserve">Other solid tumors</x:t>
        </x:is>
      </x:c>
      <x:c r="F9" s="73" t="inlineStr">
        <x:is>
          <x:t xml:space="preserve">https://www.astrazeneca.com/content/dam/az/Investor_Relations/annual-report-2025/pdf/AstraZeneca_Development_Pipeline_2025.pdf</x:t>
        </x:is>
      </x:c>
    </x:row>
    <x:row r="10">
      <x:c r="A10" s="3" t="inlineStr">
        <x:is>
          <x:t xml:space="preserve">AstraZeneca</x:t>
        </x:is>
      </x:c>
      <x:c r="B10" s="3" t="inlineStr">
        <x:is>
          <x:t xml:space="preserve">Solid-tumor oncology</x:t>
        </x:is>
      </x:c>
      <x:c r="C10" s="3" t="inlineStr">
        <x:is>
          <x:t xml:space="preserve">torvutatug samrotecan (AZD5335)</x:t>
        </x:is>
      </x:c>
      <x:c r="D10" s="3" t="inlineStr">
        <x:is>
          <x:t xml:space="preserve">Antibody-drug conjugate</x:t>
        </x:is>
      </x:c>
      <x:c r="E10" s="3" t="inlineStr">
        <x:is>
          <x:t xml:space="preserve">Ovarian cancer</x:t>
        </x:is>
      </x:c>
      <x:c r="F10" s="73" t="inlineStr">
        <x:is>
          <x:t xml:space="preserve">https://www.astrazeneca.com/content/dam/az/Investor_Relations/annual-report-2025/pdf/AstraZeneca_Development_Pipeline_2025.pdf</x:t>
        </x:is>
      </x:c>
    </x:row>
    <x:row r="11">
      <x:c r="A11" s="3" t="inlineStr">
        <x:is>
          <x:t xml:space="preserve">Bristol Myers Squibb</x:t>
        </x:is>
      </x:c>
      <x:c r="B11" s="3" t="inlineStr">
        <x:is>
          <x:t xml:space="preserve">Solid-tumor oncology</x:t>
        </x:is>
      </x:c>
      <x:c r="C11" s="3" t="inlineStr">
        <x:is>
          <x:t xml:space="preserve">izalontamab brengitecan (iza-bren)</x:t>
        </x:is>
      </x:c>
      <x:c r="D11" s="3" t="inlineStr">
        <x:is>
          <x:t xml:space="preserve">Antibody-drug conjugate</x:t>
        </x:is>
      </x:c>
      <x:c r="E11" s="3" t="inlineStr">
        <x:is>
          <x:t xml:space="preserve">Urothelial cancer</x:t>
        </x:is>
      </x:c>
      <x:c r="F11" s="73" t="inlineStr">
        <x:is>
          <x:t xml:space="preserve">https://annual-report.bms.com/assets/bms-ar/documents/2025/2025-bms-development-portfolio.pdf</x:t>
        </x:is>
      </x:c>
    </x:row>
    <x:row r="12">
      <x:c r="A12" s="3" t="inlineStr">
        <x:is>
          <x:t xml:space="preserve">Bristol Myers Squibb</x:t>
        </x:is>
      </x:c>
      <x:c r="B12" s="3" t="inlineStr">
        <x:is>
          <x:t xml:space="preserve">Solid-tumor oncology</x:t>
        </x:is>
      </x:c>
      <x:c r="C12" s="3" t="inlineStr">
        <x:is>
          <x:t xml:space="preserve">pumitamig</x:t>
        </x:is>
      </x:c>
      <x:c r="D12" s="3" t="inlineStr">
        <x:is>
          <x:t xml:space="preserve">Bispecific / dual-target antibody</x:t>
        </x:is>
      </x:c>
      <x:c r="E12" s="3" t="inlineStr">
        <x:is>
          <x:t xml:space="preserve">Breast cancer</x:t>
        </x:is>
      </x:c>
      <x:c r="F12" s="73" t="inlineStr">
        <x:is>
          <x:t xml:space="preserve">https://annual-report.bms.com/assets/bms-ar/documents/2025/2025-bms-development-portfolio.pdf</x:t>
        </x:is>
      </x:c>
    </x:row>
    <x:row r="13">
      <x:c r="A13" s="3" t="inlineStr">
        <x:is>
          <x:t xml:space="preserve">AstraZeneca</x:t>
        </x:is>
      </x:c>
      <x:c r="B13" s="3" t="inlineStr">
        <x:is>
          <x:t xml:space="preserve">Solid-tumor oncology</x:t>
        </x:is>
      </x:c>
      <x:c r="C13" s="3" t="inlineStr">
        <x:is>
          <x:t xml:space="preserve">rilvegostomig</x:t>
        </x:is>
      </x:c>
      <x:c r="D13" s="3" t="inlineStr">
        <x:is>
          <x:t xml:space="preserve">Bispecific / dual-target antibody</x:t>
        </x:is>
      </x:c>
      <x:c r="E13" s="3" t="inlineStr">
        <x:is>
          <x:t xml:space="preserve">Gastric / GEJ</x:t>
        </x:is>
      </x:c>
      <x:c r="F13" s="73" t="inlineStr">
        <x:is>
          <x:t xml:space="preserve">https://www.astrazeneca.com/content/dam/az/Investor_Relations/annual-report-2025/pdf/AstraZeneca_Development_Pipeline_2025.pdf</x:t>
        </x:is>
      </x:c>
    </x:row>
    <x:row r="14">
      <x:c r="A14" s="3" t="inlineStr">
        <x:is>
          <x:t xml:space="preserve">AstraZeneca</x:t>
        </x:is>
      </x:c>
      <x:c r="B14" s="3" t="inlineStr">
        <x:is>
          <x:t xml:space="preserve">Solid-tumor oncology</x:t>
        </x:is>
      </x:c>
      <x:c r="C14" s="3" t="inlineStr">
        <x:is>
          <x:t xml:space="preserve">rilvegostomig</x:t>
        </x:is>
      </x:c>
      <x:c r="D14" s="3" t="inlineStr">
        <x:is>
          <x:t xml:space="preserve">Bispecific / dual-target antibody</x:t>
        </x:is>
      </x:c>
      <x:c r="E14" s="3" t="inlineStr">
        <x:is>
          <x:t xml:space="preserve">HCC / biliary</x:t>
        </x:is>
      </x:c>
      <x:c r="F14" s="73" t="inlineStr">
        <x:is>
          <x:t xml:space="preserve">https://www.astrazeneca.com/content/dam/az/Investor_Relations/annual-report-2025/pdf/AstraZeneca_Development_Pipeline_2025.pdf</x:t>
        </x:is>
      </x:c>
    </x:row>
    <x:row r="15">
      <x:c r="A15" s="3" t="inlineStr">
        <x:is>
          <x:t xml:space="preserve">AstraZeneca</x:t>
        </x:is>
      </x:c>
      <x:c r="B15" s="3" t="inlineStr">
        <x:is>
          <x:t xml:space="preserve">Solid-tumor oncology</x:t>
        </x:is>
      </x:c>
      <x:c r="C15" s="3" t="inlineStr">
        <x:is>
          <x:t xml:space="preserve">rilvegostomig</x:t>
        </x:is>
      </x:c>
      <x:c r="D15" s="3" t="inlineStr">
        <x:is>
          <x:t xml:space="preserve">Bispecific / dual-target antibody</x:t>
        </x:is>
      </x:c>
      <x:c r="E15" s="3" t="inlineStr">
        <x:is>
          <x:t xml:space="preserve">NSCLC</x:t>
        </x:is>
      </x:c>
      <x:c r="F15" s="73" t="inlineStr">
        <x:is>
          <x:t xml:space="preserve">https://www.astrazeneca.com/content/dam/az/Investor_Relations/annual-report-2025/pdf/AstraZeneca_Development_Pipeline_2025.pdf</x:t>
        </x:is>
      </x:c>
    </x:row>
    <x:row r="16">
      <x:c r="A16" s="3" t="inlineStr">
        <x:is>
          <x:t xml:space="preserve">AstraZeneca</x:t>
        </x:is>
      </x:c>
      <x:c r="B16" s="3" t="inlineStr">
        <x:is>
          <x:t xml:space="preserve">Solid-tumor oncology</x:t>
        </x:is>
      </x:c>
      <x:c r="C16" s="3" t="inlineStr">
        <x:is>
          <x:t xml:space="preserve">volrustomig</x:t>
        </x:is>
      </x:c>
      <x:c r="D16" s="3" t="inlineStr">
        <x:is>
          <x:t xml:space="preserve">Bispecific / dual-target antibody</x:t>
        </x:is>
      </x:c>
      <x:c r="E16" s="3" t="inlineStr">
        <x:is>
          <x:t xml:space="preserve">NSCLC</x:t>
        </x:is>
      </x:c>
      <x:c r="F16" s="73" t="inlineStr">
        <x:is>
          <x:t xml:space="preserve">https://www.astrazeneca.com/content/dam/az/Investor_Relations/annual-report-2025/pdf/AstraZeneca_Development_Pipeline_2025.pdf</x:t>
        </x:is>
      </x:c>
    </x:row>
    <x:row r="17">
      <x:c r="A17" s="3" t="inlineStr">
        <x:is>
          <x:t xml:space="preserve">Bristol Myers Squibb</x:t>
        </x:is>
      </x:c>
      <x:c r="B17" s="3" t="inlineStr">
        <x:is>
          <x:t xml:space="preserve">Solid-tumor oncology</x:t>
        </x:is>
      </x:c>
      <x:c r="C17" s="3" t="inlineStr">
        <x:is>
          <x:t xml:space="preserve">pumitamig</x:t>
        </x:is>
      </x:c>
      <x:c r="D17" s="3" t="inlineStr">
        <x:is>
          <x:t xml:space="preserve">Bispecific / dual-target antibody</x:t>
        </x:is>
      </x:c>
      <x:c r="E17" s="3" t="inlineStr">
        <x:is>
          <x:t xml:space="preserve">NSCLC</x:t>
        </x:is>
      </x:c>
      <x:c r="F17" s="73" t="inlineStr">
        <x:is>
          <x:t xml:space="preserve">https://annual-report.bms.com/assets/bms-ar/documents/2025/2025-bms-development-portfolio.pdf</x:t>
        </x:is>
      </x:c>
    </x:row>
    <x:row r="18">
      <x:c r="A18" s="3" t="inlineStr">
        <x:is>
          <x:t xml:space="preserve">AstraZeneca</x:t>
        </x:is>
      </x:c>
      <x:c r="B18" s="3" t="inlineStr">
        <x:is>
          <x:t xml:space="preserve">Solid-tumor oncology</x:t>
        </x:is>
      </x:c>
      <x:c r="C18" s="3" t="inlineStr">
        <x:is>
          <x:t xml:space="preserve">rilvegostomig</x:t>
        </x:is>
      </x:c>
      <x:c r="D18" s="3" t="inlineStr">
        <x:is>
          <x:t xml:space="preserve">Bispecific / dual-target antibody</x:t>
        </x:is>
      </x:c>
      <x:c r="E18" s="3" t="inlineStr">
        <x:is>
          <x:t xml:space="preserve">Other solid tumors</x:t>
        </x:is>
      </x:c>
      <x:c r="F18" s="73" t="inlineStr">
        <x:is>
          <x:t xml:space="preserve">https://www.astrazeneca.com/content/dam/az/Investor_Relations/annual-report-2025/pdf/AstraZeneca_Development_Pipeline_2025.pdf</x:t>
        </x:is>
      </x:c>
    </x:row>
    <x:row r="19">
      <x:c r="A19" s="3" t="inlineStr">
        <x:is>
          <x:t xml:space="preserve">AstraZeneca</x:t>
        </x:is>
      </x:c>
      <x:c r="B19" s="3" t="inlineStr">
        <x:is>
          <x:t xml:space="preserve">Solid-tumor oncology</x:t>
        </x:is>
      </x:c>
      <x:c r="C19" s="3" t="inlineStr">
        <x:is>
          <x:t xml:space="preserve">volrustomig</x:t>
        </x:is>
      </x:c>
      <x:c r="D19" s="3" t="inlineStr">
        <x:is>
          <x:t xml:space="preserve">Bispecific / dual-target antibody</x:t>
        </x:is>
      </x:c>
      <x:c r="E19" s="3" t="inlineStr">
        <x:is>
          <x:t xml:space="preserve">Other solid tumors</x:t>
        </x:is>
      </x:c>
      <x:c r="F19" s="73" t="inlineStr">
        <x:is>
          <x:t xml:space="preserve">https://www.astrazeneca.com/content/dam/az/Investor_Relations/annual-report-2025/pdf/AstraZeneca_Development_Pipeline_2025.pdf</x:t>
        </x:is>
      </x:c>
    </x:row>
    <x:row r="20">
      <x:c r="A20" s="3" t="inlineStr">
        <x:is>
          <x:t xml:space="preserve">Bristol Myers Squibb</x:t>
        </x:is>
      </x:c>
      <x:c r="B20" s="3" t="inlineStr">
        <x:is>
          <x:t xml:space="preserve">Solid-tumor oncology</x:t>
        </x:is>
      </x:c>
      <x:c r="C20" s="3" t="inlineStr">
        <x:is>
          <x:t xml:space="preserve">pumitamig</x:t>
        </x:is>
      </x:c>
      <x:c r="D20" s="3" t="inlineStr">
        <x:is>
          <x:t xml:space="preserve">Bispecific / dual-target antibody</x:t>
        </x:is>
      </x:c>
      <x:c r="E20" s="3" t="inlineStr">
        <x:is>
          <x:t xml:space="preserve">Other solid tumors</x:t>
        </x:is>
      </x:c>
      <x:c r="F20" s="73" t="inlineStr">
        <x:is>
          <x:t xml:space="preserve">https://annual-report.bms.com/assets/bms-ar/documents/2025/2025-bms-development-portfolio.pdf</x:t>
        </x:is>
      </x:c>
    </x:row>
    <x:row r="21">
      <x:c r="A21" s="3" t="inlineStr">
        <x:is>
          <x:t xml:space="preserve">Bristol Myers Squibb</x:t>
        </x:is>
      </x:c>
      <x:c r="B21" s="3" t="inlineStr">
        <x:is>
          <x:t xml:space="preserve">Solid-tumor oncology</x:t>
        </x:is>
      </x:c>
      <x:c r="C21" s="3" t="inlineStr">
        <x:is>
          <x:t xml:space="preserve">pumitamig</x:t>
        </x:is>
      </x:c>
      <x:c r="D21" s="3" t="inlineStr">
        <x:is>
          <x:t xml:space="preserve">Bispecific / dual-target antibody</x:t>
        </x:is>
      </x:c>
      <x:c r="E21" s="3" t="inlineStr">
        <x:is>
          <x:t xml:space="preserve">SCLC</x:t>
        </x:is>
      </x:c>
      <x:c r="F21" s="73" t="inlineStr">
        <x:is>
          <x:t xml:space="preserve">https://annual-report.bms.com/assets/bms-ar/documents/2025/2025-bms-development-portfolio.pdf</x:t>
        </x:is>
      </x:c>
    </x:row>
    <x:row r="22">
      <x:c r="A22" s="3" t="inlineStr">
        <x:is>
          <x:t xml:space="preserve">Bristol Myers Squibb</x:t>
        </x:is>
      </x:c>
      <x:c r="B22" s="3" t="inlineStr">
        <x:is>
          <x:t xml:space="preserve">Solid-tumor oncology</x:t>
        </x:is>
      </x:c>
      <x:c r="C22" s="3" t="inlineStr">
        <x:is>
          <x:t xml:space="preserve">RYZ101</x:t>
        </x:is>
      </x:c>
      <x:c r="D22" s="3" t="inlineStr">
        <x:is>
          <x:t xml:space="preserve">Radiopharmaceutical</x:t>
        </x:is>
      </x:c>
      <x:c r="E22" s="3" t="inlineStr">
        <x:is>
          <x:t xml:space="preserve">GEP-NET</x:t>
        </x:is>
      </x:c>
      <x:c r="F22" s="73" t="inlineStr">
        <x:is>
          <x:t xml:space="preserve">https://annual-report.bms.com/assets/bms-ar/documents/2025/2025-bms-development-portfolio.pdf</x:t>
        </x:is>
      </x:c>
    </x:row>
    <x:row r="23">
      <x:c r="A23" s="3" t="inlineStr">
        <x:is>
          <x:t xml:space="preserve">AstraZeneca</x:t>
        </x:is>
      </x:c>
      <x:c r="B23" s="3" t="inlineStr">
        <x:is>
          <x:t xml:space="preserve">Solid-tumor oncology</x:t>
        </x:is>
      </x:c>
      <x:c r="C23" s="3" t="inlineStr">
        <x:is>
          <x:t xml:space="preserve">FPI-2265</x:t>
        </x:is>
      </x:c>
      <x:c r="D23" s="3" t="inlineStr">
        <x:is>
          <x:t xml:space="preserve">Radiopharmaceutical</x:t>
        </x:is>
      </x:c>
      <x:c r="E23" s="3" t="inlineStr">
        <x:is>
          <x:t xml:space="preserve">Prostate cancer</x:t>
        </x:is>
      </x:c>
      <x:c r="F23" s="73" t="inlineStr">
        <x:is>
          <x:t xml:space="preserve">https://www.astrazeneca.com/content/dam/az/Investor_Relations/annual-report-2025/pdf/AstraZeneca_Development_Pipeline_2025.pdf</x:t>
        </x:is>
      </x:c>
    </x:row>
    <x:row r="24">
      <x:c r="A24" s="3" t="inlineStr">
        <x:is>
          <x:t xml:space="preserve">AstraZeneca</x:t>
        </x:is>
      </x:c>
      <x:c r="B24" s="3" t="inlineStr">
        <x:is>
          <x:t xml:space="preserve">Solid-tumor oncology</x:t>
        </x:is>
      </x:c>
      <x:c r="C24" s="3" t="inlineStr">
        <x:is>
          <x:t xml:space="preserve">camizestrant</x:t>
        </x:is>
      </x:c>
      <x:c r="D24" s="3" t="inlineStr">
        <x:is>
          <x:t xml:space="preserve">Small molecule / targeted degradation</x:t>
        </x:is>
      </x:c>
      <x:c r="E24" s="3" t="inlineStr">
        <x:is>
          <x:t xml:space="preserve">Breast cancer</x:t>
        </x:is>
      </x:c>
      <x:c r="F24" s="73" t="inlineStr">
        <x:is>
          <x:t xml:space="preserve">https://www.astrazeneca.com/content/dam/az/Investor_Relations/annual-report-2025/pdf/AstraZeneca_Development_Pipeline_2025.pdf</x:t>
        </x:is>
      </x:c>
    </x:row>
    <x:row r="25">
      <x:c r="A25" s="3" t="inlineStr">
        <x:is>
          <x:t xml:space="preserve">AstraZeneca</x:t>
        </x:is>
      </x:c>
      <x:c r="B25" s="3" t="inlineStr">
        <x:is>
          <x:t xml:space="preserve">Solid-tumor oncology</x:t>
        </x:is>
      </x:c>
      <x:c r="C25" s="3" t="inlineStr">
        <x:is>
          <x:t xml:space="preserve">saruparib</x:t>
        </x:is>
      </x:c>
      <x:c r="D25" s="3" t="inlineStr">
        <x:is>
          <x:t xml:space="preserve">Small molecule / targeted degradation</x:t>
        </x:is>
      </x:c>
      <x:c r="E25" s="3" t="inlineStr">
        <x:is>
          <x:t xml:space="preserve">Breast cancer</x:t>
        </x:is>
      </x:c>
      <x:c r="F25" s="73" t="inlineStr">
        <x:is>
          <x:t xml:space="preserve">https://www.astrazeneca.com/content/dam/az/Investor_Relations/annual-report-2025/pdf/AstraZeneca_Development_Pipeline_2025.pdf</x:t>
        </x:is>
      </x:c>
    </x:row>
    <x:row r="26">
      <x:c r="A26" s="3" t="inlineStr">
        <x:is>
          <x:t xml:space="preserve">Bristol Myers Squibb</x:t>
        </x:is>
      </x:c>
      <x:c r="B26" s="3" t="inlineStr">
        <x:is>
          <x:t xml:space="preserve">Solid-tumor oncology</x:t>
        </x:is>
      </x:c>
      <x:c r="C26" s="3" t="inlineStr">
        <x:is>
          <x:t xml:space="preserve">navlimetostat</x:t>
        </x:is>
      </x:c>
      <x:c r="D26" s="3" t="inlineStr">
        <x:is>
          <x:t xml:space="preserve">Small molecule / targeted degradation</x:t>
        </x:is>
      </x:c>
      <x:c r="E26" s="3" t="inlineStr">
        <x:is>
          <x:t xml:space="preserve">NSCLC</x:t>
        </x:is>
      </x:c>
      <x:c r="F26" s="73" t="inlineStr">
        <x:is>
          <x:t xml:space="preserve">https://annual-report.bms.com/assets/bms-ar/documents/2025/2025-bms-development-portfolio.pdf</x:t>
        </x:is>
      </x:c>
    </x:row>
    <x:row r="27">
      <x:c r="A27" s="3" t="inlineStr">
        <x:is>
          <x:t xml:space="preserve">AstraZeneca</x:t>
        </x:is>
      </x:c>
      <x:c r="B27" s="3" t="inlineStr">
        <x:is>
          <x:t xml:space="preserve">Solid-tumor oncology</x:t>
        </x:is>
      </x:c>
      <x:c r="C27" s="3" t="inlineStr">
        <x:is>
          <x:t xml:space="preserve">AZD9574</x:t>
        </x:is>
      </x:c>
      <x:c r="D27" s="3" t="inlineStr">
        <x:is>
          <x:t xml:space="preserve">Small molecule / targeted degradation</x:t>
        </x:is>
      </x:c>
      <x:c r="E27" s="3" t="inlineStr">
        <x:is>
          <x:t xml:space="preserve">Other solid tumors</x:t>
        </x:is>
      </x:c>
      <x:c r="F27" s="73" t="inlineStr">
        <x:is>
          <x:t xml:space="preserve">https://www.astrazeneca.com/content/dam/az/Investor_Relations/annual-report-2025/pdf/AstraZeneca_Development_Pipeline_2025.pdf</x:t>
        </x:is>
      </x:c>
    </x:row>
    <x:row r="28">
      <x:c r="A28" s="3" t="inlineStr">
        <x:is>
          <x:t xml:space="preserve">Bristol Myers Squibb</x:t>
        </x:is>
      </x:c>
      <x:c r="B28" s="3" t="inlineStr">
        <x:is>
          <x:t xml:space="preserve">Solid-tumor oncology</x:t>
        </x:is>
      </x:c>
      <x:c r="C28" s="3" t="inlineStr">
        <x:is>
          <x:t xml:space="preserve">navlimetostat</x:t>
        </x:is>
      </x:c>
      <x:c r="D28" s="3" t="inlineStr">
        <x:is>
          <x:t xml:space="preserve">Small molecule / targeted degradation</x:t>
        </x:is>
      </x:c>
      <x:c r="E28" s="3" t="inlineStr">
        <x:is>
          <x:t xml:space="preserve">Other solid tumors</x:t>
        </x:is>
      </x:c>
      <x:c r="F28" s="73" t="inlineStr">
        <x:is>
          <x:t xml:space="preserve">https://annual-report.bms.com/assets/bms-ar/documents/2025/2025-bms-development-portfolio.pdf</x:t>
        </x:is>
      </x:c>
    </x:row>
    <x:row r="29">
      <x:c r="A29" s="3" t="inlineStr">
        <x:is>
          <x:t xml:space="preserve">Bristol Myers Squibb</x:t>
        </x:is>
      </x:c>
      <x:c r="B29" s="3" t="inlineStr">
        <x:is>
          <x:t xml:space="preserve">Solid-tumor oncology</x:t>
        </x:is>
      </x:c>
      <x:c r="C29" s="3" t="inlineStr">
        <x:is>
          <x:t xml:space="preserve">navlimetostat</x:t>
        </x:is>
      </x:c>
      <x:c r="D29" s="3" t="inlineStr">
        <x:is>
          <x:t xml:space="preserve">Small molecule / targeted degradation</x:t>
        </x:is>
      </x:c>
      <x:c r="E29" s="3" t="inlineStr">
        <x:is>
          <x:t xml:space="preserve">Pancreatic cancer</x:t>
        </x:is>
      </x:c>
      <x:c r="F29" s="73" t="inlineStr">
        <x:is>
          <x:t xml:space="preserve">https://annual-report.bms.com/assets/bms-ar/documents/2025/2025-bms-development-portfolio.pdf</x:t>
        </x:is>
      </x:c>
    </x:row>
    <x:row r="30">
      <x:c r="A30" s="3" t="inlineStr">
        <x:is>
          <x:t xml:space="preserve">AstraZeneca</x:t>
        </x:is>
      </x:c>
      <x:c r="B30" s="3" t="inlineStr">
        <x:is>
          <x:t xml:space="preserve">Solid-tumor oncology</x:t>
        </x:is>
      </x:c>
      <x:c r="C30" s="3" t="inlineStr">
        <x:is>
          <x:t xml:space="preserve">saruparib</x:t>
        </x:is>
      </x:c>
      <x:c r="D30" s="3" t="inlineStr">
        <x:is>
          <x:t xml:space="preserve">Small molecule / targeted degradation</x:t>
        </x:is>
      </x:c>
      <x:c r="E30" s="3" t="inlineStr">
        <x:is>
          <x:t xml:space="preserve">Prostate cancer</x:t>
        </x:is>
      </x:c>
      <x:c r="F30" s="73" t="inlineStr">
        <x:is>
          <x:t xml:space="preserve">https://www.astrazeneca.com/content/dam/az/Investor_Relations/annual-report-2025/pdf/AstraZeneca_Development_Pipeline_2025.pdf</x:t>
        </x:is>
      </x:c>
    </x:row>
    <x:row r="31">
      <x:c r="A31" s="3" t="inlineStr">
        <x:is>
          <x:t xml:space="preserve">Bristol Myers Squibb</x:t>
        </x:is>
      </x:c>
      <x:c r="B31" s="3" t="inlineStr">
        <x:is>
          <x:t xml:space="preserve">Solid-tumor oncology</x:t>
        </x:is>
      </x:c>
      <x:c r="C31" s="3" t="inlineStr">
        <x:is>
          <x:t xml:space="preserve">AR ligand-directed degrader</x:t>
        </x:is>
      </x:c>
      <x:c r="D31" s="3" t="inlineStr">
        <x:is>
          <x:t xml:space="preserve">Small molecule / targeted degradation</x:t>
        </x:is>
      </x:c>
      <x:c r="E31" s="3" t="inlineStr">
        <x:is>
          <x:t xml:space="preserve">Prostate cancer</x:t>
        </x:is>
      </x:c>
      <x:c r="F31" s="73" t="inlineStr">
        <x:is>
          <x:t xml:space="preserve">https://annual-report.bms.com/assets/bms-ar/documents/2025/2025-bms-development-portfolio.pdf</x:t>
        </x:is>
      </x:c>
    </x:row>
    <x:row r="32">
      <x:c r="A32" s="3" t="inlineStr">
        <x:is>
          <x:t xml:space="preserve">AstraZeneca</x:t>
        </x:is>
      </x:c>
      <x:c r="B32" s="3" t="inlineStr">
        <x:is>
          <x:t xml:space="preserve">Solid-tumor oncology</x:t>
        </x:is>
      </x:c>
      <x:c r="C32" s="3" t="inlineStr">
        <x:is>
          <x:t xml:space="preserve">IPH5201</x:t>
        </x:is>
      </x:c>
      <x:c r="D32" s="3" t="inlineStr">
        <x:is>
          <x:t xml:space="preserve">mAb / IO combination</x:t>
        </x:is>
      </x:c>
      <x:c r="E32" s="3" t="inlineStr">
        <x:is>
          <x:t xml:space="preserve">NSCLC</x:t>
        </x:is>
      </x:c>
      <x:c r="F32" s="73" t="inlineStr">
        <x:is>
          <x:t xml:space="preserve">https://www.astrazeneca.com/content/dam/az/Investor_Relations/annual-report-2025/pdf/AstraZeneca_Development_Pipeline_2025.pdf</x:t>
        </x:is>
      </x:c>
    </x:row>
    <x:row r="33">
      <x:c r="A33" s="3" t="inlineStr">
        <x:is>
          <x:t xml:space="preserve">Bristol Myers Squibb</x:t>
        </x:is>
      </x:c>
      <x:c r="B33" s="3" t="inlineStr">
        <x:is>
          <x:t xml:space="preserve">Solid-tumor oncology</x:t>
        </x:is>
      </x:c>
      <x:c r="C33" s="3" t="inlineStr">
        <x:is>
          <x:t xml:space="preserve">nivolumab + relatlimab HD</x:t>
        </x:is>
      </x:c>
      <x:c r="D33" s="3" t="inlineStr">
        <x:is>
          <x:t xml:space="preserve">mAb / IO combination</x:t>
        </x:is>
      </x:c>
      <x:c r="E33" s="3" t="inlineStr">
        <x:is>
          <x:t xml:space="preserve">NSCLC</x:t>
        </x:is>
      </x:c>
      <x:c r="F33" s="73" t="inlineStr">
        <x:is>
          <x:t xml:space="preserve">https://annual-report.bms.com/assets/bms-ar/documents/2025/2025-bms-development-portfolio.pdf</x:t>
        </x:is>
      </x:c>
    </x:row>
    <x:row r="34">
      <x:c r="A34" s="3" t="inlineStr">
        <x:is>
          <x:t xml:space="preserve">Bristol Myers Squibb</x:t>
        </x:is>
      </x:c>
      <x:c r="B34" s="3" t="inlineStr">
        <x:is>
          <x:t xml:space="preserve">Solid-tumor oncology</x:t>
        </x:is>
      </x:c>
      <x:c r="C34" s="3" t="inlineStr">
        <x:is>
          <x:t xml:space="preserve">atigotatug + nivolumab</x:t>
        </x:is>
      </x:c>
      <x:c r="D34" s="3" t="inlineStr">
        <x:is>
          <x:t xml:space="preserve">mAb / IO combination</x:t>
        </x:is>
      </x:c>
      <x:c r="E34" s="3" t="inlineStr">
        <x:is>
          <x:t xml:space="preserve">SCLC</x:t>
        </x:is>
      </x:c>
      <x:c r="F34" s="73" t="inlineStr">
        <x:is>
          <x:t xml:space="preserve">https://annual-report.bms.com/assets/bms-ar/documents/2025/2025-bms-development-portfolio.pdf</x:t>
        </x:is>
      </x:c>
    </x:row>
    <x:row r="35">
      <x:c r="A35" s="3" t="inlineStr">
        <x:is>
          <x:t xml:space="preserve">AstraZeneca</x:t>
        </x:is>
      </x:c>
      <x:c r="B35" s="3" t="inlineStr">
        <x:is>
          <x:t xml:space="preserve">Hematology</x:t>
        </x:is>
      </x:c>
      <x:c r="C35" s="3" t="inlineStr">
        <x:is>
          <x:t xml:space="preserve">AZD0305</x:t>
        </x:is>
      </x:c>
      <x:c r="D35" s="3" t="inlineStr">
        <x:is>
          <x:t xml:space="preserve">Antibody-drug conjugate</x:t>
        </x:is>
      </x:c>
      <x:c r="E35" s="3" t="inlineStr">
        <x:is>
          <x:t xml:space="preserve">Multiple myeloma</x:t>
        </x:is>
      </x:c>
      <x:c r="F35" s="73" t="inlineStr">
        <x:is>
          <x:t xml:space="preserve">https://www.astrazeneca.com/content/dam/az/Investor_Relations/annual-report-2025/pdf/AstraZeneca_Development_Pipeline_2025.pdf</x:t>
        </x:is>
      </x:c>
    </x:row>
    <x:row r="36">
      <x:c r="A36" s="3" t="inlineStr">
        <x:is>
          <x:t xml:space="preserve">AstraZeneca</x:t>
        </x:is>
      </x:c>
      <x:c r="B36" s="3" t="inlineStr">
        <x:is>
          <x:t xml:space="preserve">Hematology</x:t>
        </x:is>
      </x:c>
      <x:c r="C36" s="3" t="inlineStr">
        <x:is>
          <x:t xml:space="preserve">AZD0120</x:t>
        </x:is>
      </x:c>
      <x:c r="D36" s="3" t="inlineStr">
        <x:is>
          <x:t xml:space="preserve">CAR-T</x:t>
        </x:is>
      </x:c>
      <x:c r="E36" s="3" t="inlineStr">
        <x:is>
          <x:t xml:space="preserve">Multiple myeloma</x:t>
        </x:is>
      </x:c>
      <x:c r="F36" s="73" t="inlineStr">
        <x:is>
          <x:t xml:space="preserve">https://www.astrazeneca.com/content/dam/az/Investor_Relations/annual-report-2025/pdf/AstraZeneca_Development_Pipeline_2025.pdf</x:t>
        </x:is>
      </x:c>
    </x:row>
    <x:row r="37">
      <x:c r="A37" s="3" t="inlineStr">
        <x:is>
          <x:t xml:space="preserve">Bristol Myers Squibb</x:t>
        </x:is>
      </x:c>
      <x:c r="B37" s="3" t="inlineStr">
        <x:is>
          <x:t xml:space="preserve">Hematology</x:t>
        </x:is>
      </x:c>
      <x:c r="C37" s="3" t="inlineStr">
        <x:is>
          <x:t xml:space="preserve">arlo-cel</x:t>
        </x:is>
      </x:c>
      <x:c r="D37" s="3" t="inlineStr">
        <x:is>
          <x:t xml:space="preserve">CAR-T</x:t>
        </x:is>
      </x:c>
      <x:c r="E37" s="3" t="inlineStr">
        <x:is>
          <x:t xml:space="preserve">Multiple myeloma</x:t>
        </x:is>
      </x:c>
      <x:c r="F37" s="73" t="inlineStr">
        <x:is>
          <x:t xml:space="preserve">https://annual-report.bms.com/assets/bms-ar/documents/2025/2025-bms-development-portfolio.pdf</x:t>
        </x:is>
      </x:c>
    </x:row>
    <x:row r="38">
      <x:c r="A38" s="3" t="inlineStr">
        <x:is>
          <x:t xml:space="preserve">AstraZeneca</x:t>
        </x:is>
      </x:c>
      <x:c r="B38" s="3" t="inlineStr">
        <x:is>
          <x:t xml:space="preserve">Hematology</x:t>
        </x:is>
      </x:c>
      <x:c r="C38" s="3" t="inlineStr">
        <x:is>
          <x:t xml:space="preserve">AZD3470</x:t>
        </x:is>
      </x:c>
      <x:c r="D38" s="3" t="inlineStr">
        <x:is>
          <x:t xml:space="preserve">Small molecule</x:t>
        </x:is>
      </x:c>
      <x:c r="E38" s="3" t="inlineStr">
        <x:is>
          <x:t xml:space="preserve">Hodgkin lymphoma</x:t>
        </x:is>
      </x:c>
      <x:c r="F38" s="73" t="inlineStr">
        <x:is>
          <x:t xml:space="preserve">https://www.astrazeneca.com/content/dam/az/Investor_Relations/annual-report-2025/pdf/AstraZeneca_Development_Pipeline_2025.pdf</x:t>
        </x:is>
      </x:c>
    </x:row>
    <x:row r="39">
      <x:c r="A39" s="3" t="inlineStr">
        <x:is>
          <x:t xml:space="preserve">AstraZeneca</x:t>
        </x:is>
      </x:c>
      <x:c r="B39" s="3" t="inlineStr">
        <x:is>
          <x:t xml:space="preserve">Hematology</x:t>
        </x:is>
      </x:c>
      <x:c r="C39" s="3" t="inlineStr">
        <x:is>
          <x:t xml:space="preserve">surovatamig</x:t>
        </x:is>
      </x:c>
      <x:c r="D39" s="3" t="inlineStr">
        <x:is>
          <x:t xml:space="preserve">T-cell engager</x:t>
        </x:is>
      </x:c>
      <x:c r="E39" s="3" t="inlineStr">
        <x:is>
          <x:t xml:space="preserve">B-ALL</x:t>
        </x:is>
      </x:c>
      <x:c r="F39" s="73" t="inlineStr">
        <x:is>
          <x:t xml:space="preserve">https://www.astrazeneca.com/content/dam/az/Investor_Relations/annual-report-2025/pdf/AstraZeneca_Development_Pipeline_2025.pdf</x:t>
        </x:is>
      </x:c>
    </x:row>
    <x:row r="40">
      <x:c r="A40" s="3" t="inlineStr">
        <x:is>
          <x:t xml:space="preserve">AstraZeneca</x:t>
        </x:is>
      </x:c>
      <x:c r="B40" s="3" t="inlineStr">
        <x:is>
          <x:t xml:space="preserve">Hematology</x:t>
        </x:is>
      </x:c>
      <x:c r="C40" s="3" t="inlineStr">
        <x:is>
          <x:t xml:space="preserve">surovatamig</x:t>
        </x:is>
      </x:c>
      <x:c r="D40" s="3" t="inlineStr">
        <x:is>
          <x:t xml:space="preserve">T-cell engager</x:t>
        </x:is>
      </x:c>
      <x:c r="E40" s="3" t="inlineStr">
        <x:is>
          <x:t xml:space="preserve">B-cell lymphoma</x:t>
        </x:is>
      </x:c>
      <x:c r="F40" s="73" t="inlineStr">
        <x:is>
          <x:t xml:space="preserve">https://www.astrazeneca.com/content/dam/az/Investor_Relations/annual-report-2025/pdf/AstraZeneca_Development_Pipeline_2025.pdf</x:t>
        </x:is>
      </x:c>
    </x:row>
    <x:row r="41">
      <x:c r="A41" s="3" t="inlineStr">
        <x:is>
          <x:t xml:space="preserve">Bristol Myers Squibb</x:t>
        </x:is>
      </x:c>
      <x:c r="B41" s="3" t="inlineStr">
        <x:is>
          <x:t xml:space="preserve">Hematology</x:t>
        </x:is>
      </x:c>
      <x:c r="C41" s="3" t="inlineStr">
        <x:is>
          <x:t xml:space="preserve">golcadomide</x:t>
        </x:is>
      </x:c>
      <x:c r="D41" s="3" t="inlineStr">
        <x:is>
          <x:t xml:space="preserve">Targeted protein degradation / CELMoD</x:t>
        </x:is>
      </x:c>
      <x:c r="E41" s="3" t="inlineStr">
        <x:is>
          <x:t xml:space="preserve">B-cell lymphoma</x:t>
        </x:is>
      </x:c>
      <x:c r="F41" s="73" t="inlineStr">
        <x:is>
          <x:t xml:space="preserve">https://annual-report.bms.com/assets/bms-ar/documents/2025/2025-bms-development-portfolio.pdf</x:t>
        </x:is>
      </x:c>
    </x:row>
    <x:row r="42">
      <x:c r="A42" s="3" t="inlineStr">
        <x:is>
          <x:t xml:space="preserve">Bristol Myers Squibb</x:t>
        </x:is>
      </x:c>
      <x:c r="B42" s="3" t="inlineStr">
        <x:is>
          <x:t xml:space="preserve">Hematology</x:t>
        </x:is>
      </x:c>
      <x:c r="C42" s="3" t="inlineStr">
        <x:is>
          <x:t xml:space="preserve">iberdomide</x:t>
        </x:is>
      </x:c>
      <x:c r="D42" s="3" t="inlineStr">
        <x:is>
          <x:t xml:space="preserve">Targeted protein degradation / CELMoD</x:t>
        </x:is>
      </x:c>
      <x:c r="E42" s="3" t="inlineStr">
        <x:is>
          <x:t xml:space="preserve">Multiple myeloma</x:t>
        </x:is>
      </x:c>
      <x:c r="F42" s="73" t="inlineStr">
        <x:is>
          <x:t xml:space="preserve">https://annual-report.bms.com/assets/bms-ar/documents/2025/2025-bms-development-portfolio.pdf</x:t>
        </x:is>
      </x:c>
    </x:row>
    <x:row r="43">
      <x:c r="A43" s="3" t="inlineStr">
        <x:is>
          <x:t xml:space="preserve">Bristol Myers Squibb</x:t>
        </x:is>
      </x:c>
      <x:c r="B43" s="3" t="inlineStr">
        <x:is>
          <x:t xml:space="preserve">Hematology</x:t>
        </x:is>
      </x:c>
      <x:c r="C43" s="3" t="inlineStr">
        <x:is>
          <x:t xml:space="preserve">mezigdomide</x:t>
        </x:is>
      </x:c>
      <x:c r="D43" s="3" t="inlineStr">
        <x:is>
          <x:t xml:space="preserve">Targeted protein degradation / CELMoD</x:t>
        </x:is>
      </x:c>
      <x:c r="E43" s="3" t="inlineStr">
        <x:is>
          <x:t xml:space="preserve">Multiple myeloma</x:t>
        </x:is>
      </x:c>
      <x:c r="F43" s="73" t="inlineStr">
        <x:is>
          <x:t xml:space="preserve">https://annual-report.bms.com/assets/bms-ar/documents/2025/2025-bms-development-portfolio.pdf</x:t>
        </x:is>
      </x:c>
    </x:row>
    <x:row r="44">
      <x:c r="A44" s="3" t="inlineStr">
        <x:is>
          <x:t xml:space="preserve">Bristol Myers Squibb</x:t>
        </x:is>
      </x:c>
      <x:c r="B44" s="3" t="inlineStr">
        <x:is>
          <x:t xml:space="preserve">Immunology, respiratory &amp; fibrosis</x:t>
        </x:is>
      </x:c>
      <x:c r="C44" s="3" t="inlineStr">
        <x:is>
          <x:t xml:space="preserve">zola-cel (CD19 NEX-T)</x:t>
        </x:is>
      </x:c>
      <x:c r="D44" s="3" t="inlineStr">
        <x:is>
          <x:t xml:space="preserve">CAR-T</x:t>
        </x:is>
      </x:c>
      <x:c r="E44" s="3" t="inlineStr">
        <x:is>
          <x:t xml:space="preserve">SLE / systemic sclerosis</x:t>
        </x:is>
      </x:c>
      <x:c r="F44" s="73" t="inlineStr">
        <x:is>
          <x:t xml:space="preserve">https://annual-report.bms.com/assets/bms-ar/documents/2025/2025-bms-development-portfolio.pdf</x:t>
        </x:is>
      </x:c>
    </x:row>
    <x:row r="45">
      <x:c r="A45" s="3" t="inlineStr">
        <x:is>
          <x:t xml:space="preserve">AstraZeneca</x:t>
        </x:is>
      </x:c>
      <x:c r="B45" s="3" t="inlineStr">
        <x:is>
          <x:t xml:space="preserve">Immunology, respiratory &amp; fibrosis</x:t>
        </x:is>
      </x:c>
      <x:c r="C45" s="3" t="inlineStr">
        <x:is>
          <x:t xml:space="preserve">AZD8630</x:t>
        </x:is>
      </x:c>
      <x:c r="D45" s="3" t="inlineStr">
        <x:is>
          <x:t xml:space="preserve">Inhaled biologic</x:t>
        </x:is>
      </x:c>
      <x:c r="E45" s="3" t="inlineStr">
        <x:is>
          <x:t xml:space="preserve">Asthma</x:t>
        </x:is>
      </x:c>
      <x:c r="F45" s="73" t="inlineStr">
        <x:is>
          <x:t xml:space="preserve">https://www.astrazeneca.com/content/dam/az/Investor_Relations/annual-report-2025/pdf/AstraZeneca_Development_Pipeline_2025.pdf</x:t>
        </x:is>
      </x:c>
    </x:row>
    <x:row r="46">
      <x:c r="A46" s="3" t="inlineStr">
        <x:is>
          <x:t xml:space="preserve">AstraZeneca</x:t>
        </x:is>
      </x:c>
      <x:c r="B46" s="3" t="inlineStr">
        <x:is>
          <x:t xml:space="preserve">Immunology, respiratory &amp; fibrosis</x:t>
        </x:is>
      </x:c>
      <x:c r="C46" s="3" t="inlineStr">
        <x:is>
          <x:t xml:space="preserve">AZD4604</x:t>
        </x:is>
      </x:c>
      <x:c r="D46" s="3" t="inlineStr">
        <x:is>
          <x:t xml:space="preserve">Inhaled small molecule</x:t>
        </x:is>
      </x:c>
      <x:c r="E46" s="3" t="inlineStr">
        <x:is>
          <x:t xml:space="preserve">Asthma</x:t>
        </x:is>
      </x:c>
      <x:c r="F46" s="73" t="inlineStr">
        <x:is>
          <x:t xml:space="preserve">https://www.astrazeneca.com/content/dam/az/Investor_Relations/annual-report-2025/pdf/AstraZeneca_Development_Pipeline_2025.pdf</x:t>
        </x:is>
      </x:c>
    </x:row>
    <x:row r="47">
      <x:c r="A47" s="3" t="inlineStr">
        <x:is>
          <x:t xml:space="preserve">AstraZeneca</x:t>
        </x:is>
      </x:c>
      <x:c r="B47" s="3" t="inlineStr">
        <x:is>
          <x:t xml:space="preserve">Immunology, respiratory &amp; fibrosis</x:t>
        </x:is>
      </x:c>
      <x:c r="C47" s="3" t="inlineStr">
        <x:is>
          <x:t xml:space="preserve">tozorakimab</x:t>
        </x:is>
      </x:c>
      <x:c r="D47" s="3" t="inlineStr">
        <x:is>
          <x:t xml:space="preserve">Monoclonal / bispecific antibody</x:t>
        </x:is>
      </x:c>
      <x:c r="E47" s="3" t="inlineStr">
        <x:is>
          <x:t xml:space="preserve">COPD</x:t>
        </x:is>
      </x:c>
      <x:c r="F47" s="73" t="inlineStr">
        <x:is>
          <x:t xml:space="preserve">https://www.astrazeneca.com/content/dam/az/Investor_Relations/annual-report-2025/pdf/AstraZeneca_Development_Pipeline_2025.pdf</x:t>
        </x:is>
      </x:c>
    </x:row>
    <x:row r="48">
      <x:c r="A48" s="3" t="inlineStr">
        <x:is>
          <x:t xml:space="preserve">AstraZeneca</x:t>
        </x:is>
      </x:c>
      <x:c r="B48" s="3" t="inlineStr">
        <x:is>
          <x:t xml:space="preserve">Immunology, respiratory &amp; fibrosis</x:t>
        </x:is>
      </x:c>
      <x:c r="C48" s="3" t="inlineStr">
        <x:is>
          <x:t xml:space="preserve">AZD7798</x:t>
        </x:is>
      </x:c>
      <x:c r="D48" s="3" t="inlineStr">
        <x:is>
          <x:t xml:space="preserve">Monoclonal / bispecific antibody</x:t>
        </x:is>
      </x:c>
      <x:c r="E48" s="3" t="inlineStr">
        <x:is>
          <x:t xml:space="preserve">Crohn's disease</x:t>
        </x:is>
      </x:c>
      <x:c r="F48" s="73" t="inlineStr">
        <x:is>
          <x:t xml:space="preserve">https://www.astrazeneca.com/content/dam/az/Investor_Relations/annual-report-2025/pdf/AstraZeneca_Development_Pipeline_2025.pdf</x:t>
        </x:is>
      </x:c>
    </x:row>
    <x:row r="49">
      <x:c r="A49" s="3" t="inlineStr">
        <x:is>
          <x:t xml:space="preserve">Bristol Myers Squibb</x:t>
        </x:is>
      </x:c>
      <x:c r="B49" s="3" t="inlineStr">
        <x:is>
          <x:t xml:space="preserve">Immunology, respiratory &amp; fibrosis</x:t>
        </x:is>
      </x:c>
      <x:c r="C49" s="3" t="inlineStr">
        <x:is>
          <x:t xml:space="preserve">obexelimab</x:t>
        </x:is>
      </x:c>
      <x:c r="D49" s="3" t="inlineStr">
        <x:is>
          <x:t xml:space="preserve">Monoclonal / bispecific antibody</x:t>
        </x:is>
      </x:c>
      <x:c r="E49" s="3" t="inlineStr">
        <x:is>
          <x:t xml:space="preserve">IgG4-related disease</x:t>
        </x:is>
      </x:c>
      <x:c r="F49" s="73" t="inlineStr">
        <x:is>
          <x:t xml:space="preserve">https://annual-report.bms.com/assets/bms-ar/documents/2025/2025-bms-development-portfolio.pdf</x:t>
        </x:is>
      </x:c>
    </x:row>
    <x:row r="50">
      <x:c r="A50" s="3" t="inlineStr">
        <x:is>
          <x:t xml:space="preserve">AstraZeneca</x:t>
        </x:is>
      </x:c>
      <x:c r="B50" s="3" t="inlineStr">
        <x:is>
          <x:t xml:space="preserve">Immunology, respiratory &amp; fibrosis</x:t>
        </x:is>
      </x:c>
      <x:c r="C50" s="3" t="inlineStr">
        <x:is>
          <x:t xml:space="preserve">AZD1163</x:t>
        </x:is>
      </x:c>
      <x:c r="D50" s="3" t="inlineStr">
        <x:is>
          <x:t xml:space="preserve">Monoclonal / bispecific antibody</x:t>
        </x:is>
      </x:c>
      <x:c r="E50" s="3" t="inlineStr">
        <x:is>
          <x:t xml:space="preserve">Rheumatoid arthritis</x:t>
        </x:is>
      </x:c>
      <x:c r="F50" s="73" t="inlineStr">
        <x:is>
          <x:t xml:space="preserve">https://www.astrazeneca.com/content/dam/az/Investor_Relations/annual-report-2025/pdf/AstraZeneca_Development_Pipeline_2025.pdf</x:t>
        </x:is>
      </x:c>
    </x:row>
    <x:row r="51">
      <x:c r="A51" s="3" t="inlineStr">
        <x:is>
          <x:t xml:space="preserve">AstraZeneca</x:t>
        </x:is>
      </x:c>
      <x:c r="B51" s="3" t="inlineStr">
        <x:is>
          <x:t xml:space="preserve">Immunology, respiratory &amp; fibrosis</x:t>
        </x:is>
      </x:c>
      <x:c r="C51" s="3" t="inlineStr">
        <x:is>
          <x:t xml:space="preserve">tozorakimab</x:t>
        </x:is>
      </x:c>
      <x:c r="D51" s="3" t="inlineStr">
        <x:is>
          <x:t xml:space="preserve">Monoclonal / bispecific antibody</x:t>
        </x:is>
      </x:c>
      <x:c r="E51" s="3" t="inlineStr">
        <x:is>
          <x:t xml:space="preserve">Severe viral LRTD</x:t>
        </x:is>
      </x:c>
      <x:c r="F51" s="73" t="inlineStr">
        <x:is>
          <x:t xml:space="preserve">https://www.astrazeneca.com/content/dam/az/Investor_Relations/annual-report-2025/pdf/AstraZeneca_Development_Pipeline_2025.pdf</x:t>
        </x:is>
      </x:c>
    </x:row>
    <x:row r="52">
      <x:c r="A52" s="3" t="inlineStr">
        <x:is>
          <x:t xml:space="preserve">AstraZeneca</x:t>
        </x:is>
      </x:c>
      <x:c r="B52" s="3" t="inlineStr">
        <x:is>
          <x:t xml:space="preserve">Immunology, respiratory &amp; fibrosis</x:t>
        </x:is>
      </x:c>
      <x:c r="C52" s="3" t="inlineStr">
        <x:is>
          <x:t xml:space="preserve">atuliflapon</x:t>
        </x:is>
      </x:c>
      <x:c r="D52" s="3" t="inlineStr">
        <x:is>
          <x:t xml:space="preserve">Oral / systemic small molecule</x:t>
        </x:is>
      </x:c>
      <x:c r="E52" s="3" t="inlineStr">
        <x:is>
          <x:t xml:space="preserve">Asthma</x:t>
        </x:is>
      </x:c>
      <x:c r="F52" s="73" t="inlineStr">
        <x:is>
          <x:t xml:space="preserve">https://www.astrazeneca.com/content/dam/az/Investor_Relations/annual-report-2025/pdf/AstraZeneca_Development_Pipeline_2025.pdf</x:t>
        </x:is>
      </x:c>
    </x:row>
    <x:row r="53">
      <x:c r="A53" s="3" t="inlineStr">
        <x:is>
          <x:t xml:space="preserve">AstraZeneca</x:t>
        </x:is>
      </x:c>
      <x:c r="B53" s="3" t="inlineStr">
        <x:is>
          <x:t xml:space="preserve">Immunology, respiratory &amp; fibrosis</x:t>
        </x:is>
      </x:c>
      <x:c r="C53" s="3" t="inlineStr">
        <x:is>
          <x:t xml:space="preserve">AZD6793</x:t>
        </x:is>
      </x:c>
      <x:c r="D53" s="3" t="inlineStr">
        <x:is>
          <x:t xml:space="preserve">Oral / systemic small molecule</x:t>
        </x:is>
      </x:c>
      <x:c r="E53" s="3" t="inlineStr">
        <x:is>
          <x:t xml:space="preserve">COPD</x:t>
        </x:is>
      </x:c>
      <x:c r="F53" s="73" t="inlineStr">
        <x:is>
          <x:t xml:space="preserve">https://www.astrazeneca.com/content/dam/az/Investor_Relations/annual-report-2025/pdf/AstraZeneca_Development_Pipeline_2025.pdf</x:t>
        </x:is>
      </x:c>
    </x:row>
    <x:row r="54">
      <x:c r="A54" s="3" t="inlineStr">
        <x:is>
          <x:t xml:space="preserve">Bristol Myers Squibb</x:t>
        </x:is>
      </x:c>
      <x:c r="B54" s="3" t="inlineStr">
        <x:is>
          <x:t xml:space="preserve">Immunology, respiratory &amp; fibrosis</x:t>
        </x:is>
      </x:c>
      <x:c r="C54" s="3" t="inlineStr">
        <x:is>
          <x:t xml:space="preserve">admilparant</x:t>
        </x:is>
      </x:c>
      <x:c r="D54" s="3" t="inlineStr">
        <x:is>
          <x:t xml:space="preserve">Oral / systemic small molecule</x:t>
        </x:is>
      </x:c>
      <x:c r="E54" s="3" t="inlineStr">
        <x:is>
          <x:t xml:space="preserve">Pulmonary fibrosis</x:t>
        </x:is>
      </x:c>
      <x:c r="F54" s="73" t="inlineStr">
        <x:is>
          <x:t xml:space="preserve">https://annual-report.bms.com/assets/bms-ar/documents/2025/2025-bms-development-portfolio.pdf</x:t>
        </x:is>
      </x:c>
    </x:row>
    <x:row r="55">
      <x:c r="A55" s="3" t="inlineStr">
        <x:is>
          <x:t xml:space="preserve">AstraZeneca</x:t>
        </x:is>
      </x:c>
      <x:c r="B55" s="3" t="inlineStr">
        <x:is>
          <x:t xml:space="preserve">Cardiovascular</x:t>
        </x:is>
      </x:c>
      <x:c r="C55" s="3" t="inlineStr">
        <x:is>
          <x:t xml:space="preserve">laroprovstat</x:t>
        </x:is>
      </x:c>
      <x:c r="D55" s="3" t="inlineStr">
        <x:is>
          <x:t xml:space="preserve">Other targeted therapy</x:t>
        </x:is>
      </x:c>
      <x:c r="E55" s="3" t="inlineStr">
        <x:is>
          <x:t xml:space="preserve">Dyslipidemia</x:t>
        </x:is>
      </x:c>
      <x:c r="F55" s="73" t="inlineStr">
        <x:is>
          <x:t xml:space="preserve">https://www.astrazeneca.com/content/dam/az/Investor_Relations/annual-report-2025/pdf/AstraZeneca_Development_Pipeline_2025.pdf</x:t>
        </x:is>
      </x:c>
    </x:row>
    <x:row r="56">
      <x:c r="A56" s="3" t="inlineStr">
        <x:is>
          <x:t xml:space="preserve">Bristol Myers Squibb</x:t>
        </x:is>
      </x:c>
      <x:c r="B56" s="3" t="inlineStr">
        <x:is>
          <x:t xml:space="preserve">Cardiovascular</x:t>
        </x:is>
      </x:c>
      <x:c r="C56" s="3" t="inlineStr">
        <x:is>
          <x:t xml:space="preserve">milvexian</x:t>
        </x:is>
      </x:c>
      <x:c r="D56" s="3" t="inlineStr">
        <x:is>
          <x:t xml:space="preserve">Small molecule / oral therapy</x:t>
        </x:is>
      </x:c>
      <x:c r="E56" s="3" t="inlineStr">
        <x:is>
          <x:t xml:space="preserve">AF / stroke prevention</x:t>
        </x:is>
      </x:c>
      <x:c r="F56" s="73" t="inlineStr">
        <x:is>
          <x:t xml:space="preserve">https://annual-report.bms.com/assets/bms-ar/documents/2025/2025-bms-development-portfolio.pdf</x:t>
        </x:is>
      </x:c>
    </x:row>
    <x:row r="57">
      <x:c r="A57" s="3" t="inlineStr">
        <x:is>
          <x:t xml:space="preserve">AstraZeneca</x:t>
        </x:is>
      </x:c>
      <x:c r="B57" s="3" t="inlineStr">
        <x:is>
          <x:t xml:space="preserve">Cardiovascular</x:t>
        </x:is>
      </x:c>
      <x:c r="C57" s="3" t="inlineStr">
        <x:is>
          <x:t xml:space="preserve">AZD5462</x:t>
        </x:is>
      </x:c>
      <x:c r="D57" s="3" t="inlineStr">
        <x:is>
          <x:t xml:space="preserve">Small molecule / oral therapy</x:t>
        </x:is>
      </x:c>
      <x:c r="E57" s="3" t="inlineStr">
        <x:is>
          <x:t xml:space="preserve">Heart failure</x:t>
        </x:is>
      </x:c>
      <x:c r="F57" s="73" t="inlineStr">
        <x:is>
          <x:t xml:space="preserve">https://www.astrazeneca.com/content/dam/az/Investor_Relations/annual-report-2025/pdf/AstraZeneca_Development_Pipeline_2025.pdf</x:t>
        </x:is>
      </x:c>
    </x:row>
    <x:row r="58">
      <x:c r="A58" s="3" t="inlineStr">
        <x:is>
          <x:t xml:space="preserve">Bristol Myers Squibb</x:t>
        </x:is>
      </x:c>
      <x:c r="B58" s="3" t="inlineStr">
        <x:is>
          <x:t xml:space="preserve">Cardiovascular</x:t>
        </x:is>
      </x:c>
      <x:c r="C58" s="3" t="inlineStr">
        <x:is>
          <x:t xml:space="preserve">MYK-224</x:t>
        </x:is>
      </x:c>
      <x:c r="D58" s="3" t="inlineStr">
        <x:is>
          <x:t xml:space="preserve">Small molecule / oral therapy</x:t>
        </x:is>
      </x:c>
      <x:c r="E58" s="3" t="inlineStr">
        <x:is>
          <x:t xml:space="preserve">Heart failure</x:t>
        </x:is>
      </x:c>
      <x:c r="F58" s="73" t="inlineStr">
        <x:is>
          <x:t xml:space="preserve">https://annual-report.bms.com/assets/bms-ar/documents/2025/2025-bms-development-portfolio.pdf</x:t>
        </x:is>
      </x:c>
    </x:row>
    <x:row r="59">
      <x:c r="A59" s="3" t="inlineStr">
        <x:is>
          <x:t xml:space="preserve">AstraZeneca</x:t>
        </x:is>
      </x:c>
      <x:c r="B59" s="3" t="inlineStr">
        <x:is>
          <x:t xml:space="preserve">Cardiovascular</x:t>
        </x:is>
      </x:c>
      <x:c r="C59" s="3" t="inlineStr">
        <x:is>
          <x:t xml:space="preserve">baxdrostat</x:t>
        </x:is>
      </x:c>
      <x:c r="D59" s="3" t="inlineStr">
        <x:is>
          <x:t xml:space="preserve">Small molecule / oral therapy</x:t>
        </x:is>
      </x:c>
      <x:c r="E59" s="3" t="inlineStr">
        <x:is>
          <x:t xml:space="preserve">Hypertension / aldosteronism</x:t>
        </x:is>
      </x:c>
      <x:c r="F59" s="73" t="inlineStr">
        <x:is>
          <x:t xml:space="preserve">https://www.astrazeneca.com/content/dam/az/Investor_Relations/annual-report-2025/pdf/AstraZeneca_Development_Pipeline_2025.pdf</x:t>
        </x:is>
      </x:c>
    </x:row>
    <x:row r="60">
      <x:c r="A60" s="3" t="inlineStr">
        <x:is>
          <x:t xml:space="preserve">AstraZeneca</x:t>
        </x:is>
      </x:c>
      <x:c r="B60" s="3" t="inlineStr">
        <x:is>
          <x:t xml:space="preserve">Rare disease</x:t>
        </x:is>
      </x:c>
      <x:c r="C60" s="3" t="inlineStr">
        <x:is>
          <x:t xml:space="preserve">efzimfotase alfa</x:t>
        </x:is>
      </x:c>
      <x:c r="D60" s="3" t="inlineStr">
        <x:is>
          <x:t xml:space="preserve">Enzyme replacement</x:t>
        </x:is>
      </x:c>
      <x:c r="E60" s="3" t="inlineStr">
        <x:is>
          <x:t xml:space="preserve">Hypophosphatasia</x:t>
        </x:is>
      </x:c>
      <x:c r="F60" s="73" t="inlineStr">
        <x:is>
          <x:t xml:space="preserve">https://www.astrazeneca.com/content/dam/az/Investor_Relations/annual-report-2025/pdf/AstraZeneca_Development_Pipeline_2025.pdf</x:t>
        </x:is>
      </x:c>
    </x:row>
    <x:row r="61">
      <x:c r="A61" s="3" t="inlineStr">
        <x:is>
          <x:t xml:space="preserve">AstraZeneca</x:t>
        </x:is>
      </x:c>
      <x:c r="B61" s="3" t="inlineStr">
        <x:is>
          <x:t xml:space="preserve">Rare disease</x:t>
        </x:is>
      </x:c>
      <x:c r="C61" s="3" t="inlineStr">
        <x:is>
          <x:t xml:space="preserve">ALXN2420</x:t>
        </x:is>
      </x:c>
      <x:c r="D61" s="3" t="inlineStr">
        <x:is>
          <x:t xml:space="preserve">Peptide / receptor agonist-antagonist</x:t>
        </x:is>
      </x:c>
      <x:c r="E61" s="3" t="inlineStr">
        <x:is>
          <x:t xml:space="preserve">Acromegaly</x:t>
        </x:is>
      </x:c>
      <x:c r="F61" s="73" t="inlineStr">
        <x:is>
          <x:t xml:space="preserve">https://www.astrazeneca.com/content/dam/az/Investor_Relations/annual-report-2025/pdf/AstraZeneca_Development_Pipeline_2025.pdf</x:t>
        </x:is>
      </x:c>
    </x:row>
    <x:row r="62">
      <x:c r="A62" s="3" t="inlineStr">
        <x:is>
          <x:t xml:space="preserve">AstraZeneca</x:t>
        </x:is>
      </x:c>
      <x:c r="B62" s="3" t="inlineStr">
        <x:is>
          <x:t xml:space="preserve">Rare disease</x:t>
        </x:is>
      </x:c>
      <x:c r="C62" s="3" t="inlineStr">
        <x:is>
          <x:t xml:space="preserve">eneboparatide</x:t>
        </x:is>
      </x:c>
      <x:c r="D62" s="3" t="inlineStr">
        <x:is>
          <x:t xml:space="preserve">Peptide / receptor agonist-antagonist</x:t>
        </x:is>
      </x:c>
      <x:c r="E62" s="3" t="inlineStr">
        <x:is>
          <x:t xml:space="preserve">Hypoparathyroidism</x:t>
        </x:is>
      </x:c>
      <x:c r="F62" s="73" t="inlineStr">
        <x:is>
          <x:t xml:space="preserve">https://www.astrazeneca.com/content/dam/az/Investor_Relations/annual-report-2025/pdf/AstraZeneca_Development_Pipeline_2025.pdf</x:t>
        </x:is>
      </x:c>
    </x:row>
    <x:row r="63">
      <x:c r="A63" s="3" t="inlineStr">
        <x:is>
          <x:t xml:space="preserve">AstraZeneca</x:t>
        </x:is>
      </x:c>
      <x:c r="B63" s="3" t="inlineStr">
        <x:is>
          <x:t xml:space="preserve">Rare disease</x:t>
        </x:is>
      </x:c>
      <x:c r="C63" s="3" t="inlineStr">
        <x:is>
          <x:t xml:space="preserve">ALXN1920</x:t>
        </x:is>
      </x:c>
      <x:c r="D63" s="3" t="inlineStr">
        <x:is>
          <x:t xml:space="preserve">Protein / fusion therapeutic</x:t>
        </x:is>
      </x:c>
      <x:c r="E63" s="3" t="inlineStr">
        <x:is>
          <x:t xml:space="preserve">Primary membranous nephropathy</x:t>
        </x:is>
      </x:c>
      <x:c r="F63" s="73" t="inlineStr">
        <x:is>
          <x:t xml:space="preserve">https://www.astrazeneca.com/content/dam/az/Investor_Relations/annual-report-2025/pdf/AstraZeneca_Development_Pipeline_2025.pdf</x:t>
        </x:is>
      </x:c>
    </x:row>
    <x:row r="64">
      <x:c r="A64" s="3" t="inlineStr">
        <x:is>
          <x:t xml:space="preserve">AstraZeneca</x:t>
        </x:is>
      </x:c>
      <x:c r="B64" s="3" t="inlineStr">
        <x:is>
          <x:t xml:space="preserve">Rare disease</x:t>
        </x:is>
      </x:c>
      <x:c r="C64" s="3" t="inlineStr">
        <x:is>
          <x:t xml:space="preserve">ALXN2030</x:t>
        </x:is>
      </x:c>
      <x:c r="D64" s="3" t="inlineStr">
        <x:is>
          <x:t xml:space="preserve">RNA / siRNA</x:t>
        </x:is>
      </x:c>
      <x:c r="E64" s="3" t="inlineStr">
        <x:is>
          <x:t xml:space="preserve">Antibody-mediated rejection</x:t>
        </x:is>
      </x:c>
      <x:c r="F64" s="73" t="inlineStr">
        <x:is>
          <x:t xml:space="preserve">https://www.astrazeneca.com/content/dam/az/Investor_Relations/annual-report-2025/pdf/AstraZeneca_Development_Pipeline_2025.pdf</x:t>
        </x:is>
      </x:c>
    </x:row>
    <x:row r="65">
      <x:c r="A65" s="3" t="inlineStr">
        <x:is>
          <x:t xml:space="preserve">AstraZeneca</x:t>
        </x:is>
      </x:c>
      <x:c r="B65" s="3" t="inlineStr">
        <x:is>
          <x:t xml:space="preserve">Rare disease</x:t>
        </x:is>
      </x:c>
      <x:c r="C65" s="3" t="inlineStr">
        <x:is>
          <x:t xml:space="preserve">tarperprumig</x:t>
        </x:is>
      </x:c>
      <x:c r="D65" s="3" t="inlineStr">
        <x:is>
          <x:t xml:space="preserve">Small molecule / kinase inhibitor</x:t>
        </x:is>
      </x:c>
      <x:c r="E65" s="3" t="inlineStr">
        <x:is>
          <x:t xml:space="preserve">ANCA vasculitis</x:t>
        </x:is>
      </x:c>
      <x:c r="F65" s="73" t="inlineStr">
        <x:is>
          <x:t xml:space="preserve">https://www.astrazeneca.com/content/dam/az/Investor_Relations/annual-report-2025/pdf/AstraZeneca_Development_Pipeline_2025.pdf</x:t>
        </x:is>
      </x:c>
    </x:row>
    <x:row r="66">
      <x:c r="A66" s="3" t="inlineStr">
        <x:is>
          <x:t xml:space="preserve">AstraZeneca</x:t>
        </x:is>
      </x:c>
      <x:c r="B66" s="3" t="inlineStr">
        <x:is>
          <x:t xml:space="preserve">Rare disease</x:t>
        </x:is>
      </x:c>
      <x:c r="C66" s="3" t="inlineStr">
        <x:is>
          <x:t xml:space="preserve">anselamimab</x:t>
        </x:is>
      </x:c>
      <x:c r="D66" s="3" t="inlineStr">
        <x:is>
          <x:t xml:space="preserve">mAb / nanobody</x:t>
        </x:is>
      </x:c>
      <x:c r="E66" s="3" t="inlineStr">
        <x:is>
          <x:t xml:space="preserve">AL amyloidosis</x:t>
        </x:is>
      </x:c>
      <x:c r="F66" s="73" t="inlineStr">
        <x:is>
          <x:t xml:space="preserve">https://www.astrazeneca.com/content/dam/az/Investor_Relations/annual-report-2025/pdf/AstraZeneca_Development_Pipeline_2025.pdf</x:t>
        </x:is>
      </x:c>
    </x:row>
    <x:row r="67">
      <x:c r="A67" s="3" t="inlineStr">
        <x:is>
          <x:t xml:space="preserve">AstraZeneca</x:t>
        </x:is>
      </x:c>
      <x:c r="B67" s="3" t="inlineStr">
        <x:is>
          <x:t xml:space="preserve">Rare disease</x:t>
        </x:is>
      </x:c>
      <x:c r="C67" s="3" t="inlineStr">
        <x:is>
          <x:t xml:space="preserve">cliramitug</x:t>
        </x:is>
      </x:c>
      <x:c r="D67" s="3" t="inlineStr">
        <x:is>
          <x:t xml:space="preserve">mAb / nanobody</x:t>
        </x:is>
      </x:c>
      <x:c r="E67" s="3" t="inlineStr">
        <x:is>
          <x:t xml:space="preserve">ATTR-CM</x:t>
        </x:is>
      </x:c>
      <x:c r="F67" s="73" t="inlineStr">
        <x:is>
          <x:t xml:space="preserve">https://www.astrazeneca.com/content/dam/az/Investor_Relations/annual-report-2025/pdf/AstraZeneca_Development_Pipeline_2025.pdf</x:t>
        </x:is>
      </x:c>
    </x:row>
    <x:row r="68">
      <x:c r="A68" s="3" t="inlineStr">
        <x:is>
          <x:t xml:space="preserve">AstraZeneca</x:t>
        </x:is>
      </x:c>
      <x:c r="B68" s="3" t="inlineStr">
        <x:is>
          <x:t xml:space="preserve">Rare disease</x:t>
        </x:is>
      </x:c>
      <x:c r="C68" s="3" t="inlineStr">
        <x:is>
          <x:t xml:space="preserve">gefurulimab</x:t>
        </x:is>
      </x:c>
      <x:c r="D68" s="3" t="inlineStr">
        <x:is>
          <x:t xml:space="preserve">mAb / nanobody</x:t>
        </x:is>
      </x:c>
      <x:c r="E68" s="3" t="inlineStr">
        <x:is>
          <x:t xml:space="preserve">gMG</x:t>
        </x:is>
      </x:c>
      <x:c r="F68" s="73" t="inlineStr">
        <x:is>
          <x:t xml:space="preserve">https://www.astrazeneca.com/content/dam/az/Investor_Relations/annual-report-2025/pdf/AstraZeneca_Development_Pipeline_2025.pdf</x:t>
        </x:is>
      </x:c>
    </x:row>
    <x:row r="69">
      <x:c r="A69" s="3" t="inlineStr">
        <x:is>
          <x:t xml:space="preserve">AstraZeneca</x:t>
        </x:is>
      </x:c>
      <x:c r="B69" s="3" t="inlineStr">
        <x:is>
          <x:t xml:space="preserve">Renal &amp; metabolic</x:t>
        </x:is>
      </x:c>
      <x:c r="C69" s="3" t="inlineStr">
        <x:is>
          <x:t xml:space="preserve">balcinrenone / dapagliflozin</x:t>
        </x:is>
      </x:c>
      <x:c r="D69" s="3" t="inlineStr">
        <x:is>
          <x:t xml:space="preserve">Combination therapy</x:t>
        </x:is>
      </x:c>
      <x:c r="E69" s="3" t="inlineStr">
        <x:is>
          <x:t xml:space="preserve">CKD / proteinuria</x:t>
        </x:is>
      </x:c>
      <x:c r="F69" s="73" t="inlineStr">
        <x:is>
          <x:t xml:space="preserve">https://www.astrazeneca.com/content/dam/az/Investor_Relations/annual-report-2025/pdf/AstraZeneca_Development_Pipeline_2025.pdf</x:t>
        </x:is>
      </x:c>
    </x:row>
    <x:row r="70">
      <x:c r="A70" s="3" t="inlineStr">
        <x:is>
          <x:t xml:space="preserve">AstraZeneca</x:t>
        </x:is>
      </x:c>
      <x:c r="B70" s="3" t="inlineStr">
        <x:is>
          <x:t xml:space="preserve">Renal &amp; metabolic</x:t>
        </x:is>
      </x:c>
      <x:c r="C70" s="3" t="inlineStr">
        <x:is>
          <x:t xml:space="preserve">zibotentan / dapagliflozin</x:t>
        </x:is>
      </x:c>
      <x:c r="D70" s="3" t="inlineStr">
        <x:is>
          <x:t xml:space="preserve">Combination therapy</x:t>
        </x:is>
      </x:c>
      <x:c r="E70" s="3" t="inlineStr">
        <x:is>
          <x:t xml:space="preserve">CKD / proteinuria</x:t>
        </x:is>
      </x:c>
      <x:c r="F70" s="73" t="inlineStr">
        <x:is>
          <x:t xml:space="preserve">https://www.astrazeneca.com/content/dam/az/Investor_Relations/annual-report-2025/pdf/AstraZeneca_Development_Pipeline_2025.pdf</x:t>
        </x:is>
      </x:c>
    </x:row>
    <x:row r="71">
      <x:c r="A71" s="3" t="inlineStr">
        <x:is>
          <x:t xml:space="preserve">AstraZeneca</x:t>
        </x:is>
      </x:c>
      <x:c r="B71" s="3" t="inlineStr">
        <x:is>
          <x:t xml:space="preserve">Renal &amp; metabolic</x:t>
        </x:is>
      </x:c>
      <x:c r="C71" s="3" t="inlineStr">
        <x:is>
          <x:t xml:space="preserve">balcinrenone / dapagliflozin</x:t>
        </x:is>
      </x:c>
      <x:c r="D71" s="3" t="inlineStr">
        <x:is>
          <x:t xml:space="preserve">Combination therapy</x:t>
        </x:is>
      </x:c>
      <x:c r="E71" s="3" t="inlineStr">
        <x:is>
          <x:t xml:space="preserve">HF with CKD</x:t>
        </x:is>
      </x:c>
      <x:c r="F71" s="73" t="inlineStr">
        <x:is>
          <x:t xml:space="preserve">https://www.astrazeneca.com/content/dam/az/Investor_Relations/annual-report-2025/pdf/AstraZeneca_Development_Pipeline_2025.pdf</x:t>
        </x:is>
      </x:c>
    </x:row>
    <x:row r="72">
      <x:c r="A72" s="3" t="inlineStr">
        <x:is>
          <x:t xml:space="preserve">AstraZeneca</x:t>
        </x:is>
      </x:c>
      <x:c r="B72" s="3" t="inlineStr">
        <x:is>
          <x:t xml:space="preserve">Renal &amp; metabolic</x:t>
        </x:is>
      </x:c>
      <x:c r="C72" s="3" t="inlineStr">
        <x:is>
          <x:t xml:space="preserve">AZD9550 + AZD6234</x:t>
        </x:is>
      </x:c>
      <x:c r="D72" s="3" t="inlineStr">
        <x:is>
          <x:t xml:space="preserve">Combination therapy</x:t>
        </x:is>
      </x:c>
      <x:c r="E72" s="3" t="inlineStr">
        <x:is>
          <x:t xml:space="preserve">Obesity / weight management</x:t>
        </x:is>
      </x:c>
      <x:c r="F72" s="73" t="inlineStr">
        <x:is>
          <x:t xml:space="preserve">https://www.astrazeneca.com/content/dam/az/Investor_Relations/annual-report-2025/pdf/AstraZeneca_Development_Pipeline_2025.pdf</x:t>
        </x:is>
      </x:c>
    </x:row>
    <x:row r="73">
      <x:c r="A73" s="3" t="inlineStr">
        <x:is>
          <x:t xml:space="preserve">AstraZeneca</x:t>
        </x:is>
      </x:c>
      <x:c r="B73" s="3" t="inlineStr">
        <x:is>
          <x:t xml:space="preserve">Renal &amp; metabolic</x:t>
        </x:is>
      </x:c>
      <x:c r="C73" s="3" t="inlineStr">
        <x:is>
          <x:t xml:space="preserve">elecoglipron (AZD5004)</x:t>
        </x:is>
      </x:c>
      <x:c r="D73" s="3" t="inlineStr">
        <x:is>
          <x:t xml:space="preserve">Oral small molecule</x:t>
        </x:is>
      </x:c>
      <x:c r="E73" s="3" t="inlineStr">
        <x:is>
          <x:t xml:space="preserve">Obesity / weight management</x:t>
        </x:is>
      </x:c>
      <x:c r="F73" s="73" t="inlineStr">
        <x:is>
          <x:t xml:space="preserve">https://www.astrazeneca.com/content/dam/az/Investor_Relations/annual-report-2025/pdf/AstraZeneca_Development_Pipeline_2025.pdf</x:t>
        </x:is>
      </x:c>
    </x:row>
    <x:row r="74">
      <x:c r="A74" s="3" t="inlineStr">
        <x:is>
          <x:t xml:space="preserve">AstraZeneca</x:t>
        </x:is>
      </x:c>
      <x:c r="B74" s="3" t="inlineStr">
        <x:is>
          <x:t xml:space="preserve">Renal &amp; metabolic</x:t>
        </x:is>
      </x:c>
      <x:c r="C74" s="3" t="inlineStr">
        <x:is>
          <x:t xml:space="preserve">elecoglipron (AZD5004)</x:t>
        </x:is>
      </x:c>
      <x:c r="D74" s="3" t="inlineStr">
        <x:is>
          <x:t xml:space="preserve">Oral small molecule</x:t>
        </x:is>
      </x:c>
      <x:c r="E74" s="3" t="inlineStr">
        <x:is>
          <x:t xml:space="preserve">Type 2 diabetes</x:t>
        </x:is>
      </x:c>
      <x:c r="F74" s="73" t="inlineStr">
        <x:is>
          <x:t xml:space="preserve">https://www.astrazeneca.com/content/dam/az/Investor_Relations/annual-report-2025/pdf/AstraZeneca_Development_Pipeline_2025.pdf</x:t>
        </x:is>
      </x:c>
    </x:row>
    <x:row r="75">
      <x:c r="A75" s="3" t="inlineStr">
        <x:is>
          <x:t xml:space="preserve">AstraZeneca</x:t>
        </x:is>
      </x:c>
      <x:c r="B75" s="3" t="inlineStr">
        <x:is>
          <x:t xml:space="preserve">Renal &amp; metabolic</x:t>
        </x:is>
      </x:c>
      <x:c r="C75" s="3" t="inlineStr">
        <x:is>
          <x:t xml:space="preserve">AZD2389</x:t>
        </x:is>
      </x:c>
      <x:c r="D75" s="3" t="inlineStr">
        <x:is>
          <x:t xml:space="preserve">Other targeted / RNA</x:t>
        </x:is>
      </x:c>
      <x:c r="E75" s="3" t="inlineStr">
        <x:is>
          <x:t xml:space="preserve">MASH</x:t>
        </x:is>
      </x:c>
      <x:c r="F75" s="73" t="inlineStr">
        <x:is>
          <x:t xml:space="preserve">https://www.astrazeneca.com/content/dam/az/Investor_Relations/annual-report-2025/pdf/AstraZeneca_Development_Pipeline_2025.pdf</x:t>
        </x:is>
      </x:c>
    </x:row>
    <x:row r="76">
      <x:c r="A76" s="3" t="inlineStr">
        <x:is>
          <x:t xml:space="preserve">AstraZeneca</x:t>
        </x:is>
      </x:c>
      <x:c r="B76" s="3" t="inlineStr">
        <x:is>
          <x:t xml:space="preserve">Renal &amp; metabolic</x:t>
        </x:is>
      </x:c>
      <x:c r="C76" s="3" t="inlineStr">
        <x:is>
          <x:t xml:space="preserve">opemalirsen</x:t>
        </x:is>
      </x:c>
      <x:c r="D76" s="3" t="inlineStr">
        <x:is>
          <x:t xml:space="preserve">Other targeted / RNA</x:t>
        </x:is>
      </x:c>
      <x:c r="E76" s="3" t="inlineStr">
        <x:is>
          <x:t xml:space="preserve">Nephropathy</x:t>
        </x:is>
      </x:c>
      <x:c r="F76" s="73" t="inlineStr">
        <x:is>
          <x:t xml:space="preserve">https://www.astrazeneca.com/content/dam/az/Investor_Relations/annual-report-2025/pdf/AstraZeneca_Development_Pipeline_2025.pdf</x:t>
        </x:is>
      </x:c>
    </x:row>
    <x:row r="77">
      <x:c r="A77" s="3" t="inlineStr">
        <x:is>
          <x:t xml:space="preserve">AstraZeneca</x:t>
        </x:is>
      </x:c>
      <x:c r="B77" s="3" t="inlineStr">
        <x:is>
          <x:t xml:space="preserve">Renal &amp; metabolic</x:t>
        </x:is>
      </x:c>
      <x:c r="C77" s="3" t="inlineStr">
        <x:is>
          <x:t xml:space="preserve">AZD6234</x:t>
        </x:is>
      </x:c>
      <x:c r="D77" s="3" t="inlineStr">
        <x:is>
          <x:t xml:space="preserve">Peptide / incretin</x:t>
        </x:is>
      </x:c>
      <x:c r="E77" s="3" t="inlineStr">
        <x:is>
          <x:t xml:space="preserve">Obesity / weight management</x:t>
        </x:is>
      </x:c>
      <x:c r="F77" s="73" t="inlineStr">
        <x:is>
          <x:t xml:space="preserve">https://www.astrazeneca.com/content/dam/az/Investor_Relations/annual-report-2025/pdf/AstraZeneca_Development_Pipeline_2025.pdf</x:t>
        </x:is>
      </x:c>
    </x:row>
    <x:row r="78">
      <x:c r="A78" s="3" t="inlineStr">
        <x:is>
          <x:t xml:space="preserve">AstraZeneca</x:t>
        </x:is>
      </x:c>
      <x:c r="B78" s="3" t="inlineStr">
        <x:is>
          <x:t xml:space="preserve">Infectious disease</x:t>
        </x:is>
      </x:c>
      <x:c r="C78" s="3" t="inlineStr">
        <x:is>
          <x:t xml:space="preserve">AZD7760</x:t>
        </x:is>
      </x:c>
      <x:c r="D78" s="3" t="inlineStr">
        <x:is>
          <x:t xml:space="preserve">Antibody combination</x:t>
        </x:is>
      </x:c>
      <x:c r="E78" s="3" t="inlineStr">
        <x:is>
          <x:t xml:space="preserve">S. aureus prevention</x:t>
        </x:is>
      </x:c>
      <x:c r="F78" s="73" t="inlineStr">
        <x:is>
          <x:t xml:space="preserve">https://www.astrazeneca.com/content/dam/az/Investor_Relations/annual-report-2025/pdf/AstraZeneca_Development_Pipeline_2025.pdf</x:t>
        </x:is>
      </x:c>
    </x:row>
    <x:row r="79">
      <x:c r="A79" s="3" t="inlineStr">
        <x:is>
          <x:t xml:space="preserve">AstraZeneca</x:t>
        </x:is>
      </x:c>
      <x:c r="B79" s="3" t="inlineStr">
        <x:is>
          <x:t xml:space="preserve">Infectious disease</x:t>
        </x:is>
      </x:c>
      <x:c r="C79" s="3" t="inlineStr">
        <x:is>
          <x:t xml:space="preserve">AZD0292</x:t>
        </x:is>
      </x:c>
      <x:c r="D79" s="3" t="inlineStr">
        <x:is>
          <x:t xml:space="preserve">Bispecific antibody</x:t>
        </x:is>
      </x:c>
      <x:c r="E79" s="3" t="inlineStr">
        <x:is>
          <x:t xml:space="preserve">Bronchiectasis / Pseudomonas</x:t>
        </x:is>
      </x:c>
      <x:c r="F79" s="73" t="inlineStr">
        <x:is>
          <x:t xml:space="preserve">https://www.astrazeneca.com/content/dam/az/Investor_Relations/annual-report-2025/pdf/AstraZeneca_Development_Pipeline_2025.pdf</x:t>
        </x:is>
      </x:c>
    </x:row>
    <x:row r="80">
      <x:c r="A80" s="3" t="inlineStr">
        <x:is>
          <x:t xml:space="preserve">AstraZeneca</x:t>
        </x:is>
      </x:c>
      <x:c r="B80" s="3" t="inlineStr">
        <x:is>
          <x:t xml:space="preserve">Infectious disease</x:t>
        </x:is>
      </x:c>
      <x:c r="C80" s="3" t="inlineStr">
        <x:is>
          <x:t xml:space="preserve">AZD5148</x:t>
        </x:is>
      </x:c>
      <x:c r="D80" s="3" t="inlineStr">
        <x:is>
          <x:t xml:space="preserve">Monoclonal antibody</x:t>
        </x:is>
      </x:c>
      <x:c r="E80" s="3" t="inlineStr">
        <x:is>
          <x:t xml:space="preserve">C. difficile recurrence</x:t>
        </x:is>
      </x:c>
      <x:c r="F80" s="73" t="inlineStr">
        <x:is>
          <x:t xml:space="preserve">https://www.astrazeneca.com/content/dam/az/Investor_Relations/annual-report-2025/pdf/AstraZeneca_Development_Pipeline_2025.pdf</x:t>
        </x:is>
      </x:c>
    </x:row>
    <x:row r="81">
      <x:c r="A81" s="3" t="inlineStr">
        <x:is>
          <x:t xml:space="preserve">Bristol Myers Squibb</x:t>
        </x:is>
      </x:c>
      <x:c r="B81" s="3" t="inlineStr">
        <x:is>
          <x:t xml:space="preserve">Neuroscience</x:t>
        </x:is>
      </x:c>
      <x:c r="C81" s="3" t="inlineStr">
        <x:is>
          <x:t xml:space="preserve">anti-MTBR tau</x:t>
        </x:is>
      </x:c>
      <x:c r="D81" s="3" t="inlineStr">
        <x:is>
          <x:t xml:space="preserve">Monoclonal antibody</x:t>
        </x:is>
      </x:c>
      <x:c r="E81" s="3" t="inlineStr">
        <x:is>
          <x:t xml:space="preserve">Alzheimer's disease</x:t>
        </x:is>
      </x:c>
      <x:c r="F81" s="73" t="inlineStr">
        <x:is>
          <x:t xml:space="preserve">https://annual-report.bms.com/assets/bms-ar/documents/2025/2025-bms-development-portfolio.pdf</x:t>
        </x:is>
      </x:c>
    </x:row>
    <x:row r="82">
      <x:c r="A82" s="3" t="inlineStr">
        <x:is>
          <x:t xml:space="preserve">Bristol Myers Squibb</x:t>
        </x:is>
      </x:c>
      <x:c r="B82" s="3" t="inlineStr">
        <x:is>
          <x:t xml:space="preserve">Neuroscience</x:t>
        </x:is>
      </x:c>
      <x:c r="C82" s="3" t="inlineStr">
        <x:is>
          <x:t xml:space="preserve">FAAH/MAGL dual inhibitor</x:t>
        </x:is>
      </x:c>
      <x:c r="D82" s="3" t="inlineStr">
        <x:is>
          <x:t xml:space="preserve">Small molecule</x:t>
        </x:is>
      </x:c>
      <x:c r="E82" s="3" t="inlineStr">
        <x:is>
          <x:t xml:space="preserve">AD agitation</x:t>
        </x:is>
      </x:c>
      <x:c r="F82" s="73" t="inlineStr">
        <x:is>
          <x:t xml:space="preserve">https://annual-report.bms.com/assets/bms-ar/documents/2025/2025-bms-development-portfolio.pdf</x:t>
        </x:is>
      </x:c>
    </x:row>
    <x:row r="83">
      <x:c r="A83" s="3" t="inlineStr">
        <x:is>
          <x:t xml:space="preserve">Bristol Myers Squibb</x:t>
        </x:is>
      </x:c>
      <x:c r="B83" s="3" t="inlineStr">
        <x:is>
          <x:t xml:space="preserve">Neuroscience</x:t>
        </x:is>
      </x:c>
      <x:c r="C83" s="3" t="inlineStr">
        <x:is>
          <x:t xml:space="preserve">FAAH/MAGL dual inhibitor</x:t>
        </x:is>
      </x:c>
      <x:c r="D83" s="3" t="inlineStr">
        <x:is>
          <x:t xml:space="preserve">Small molecule</x:t>
        </x:is>
      </x:c>
      <x:c r="E83" s="3" t="inlineStr">
        <x:is>
          <x:t xml:space="preserve">MS spasticity</x:t>
        </x:is>
      </x:c>
      <x:c r="F83" s="73" t="inlineStr">
        <x:is>
          <x:t xml:space="preserve">https://annual-report.bms.com/assets/bms-ar/documents/2025/2025-bms-development-portfolio.pdf</x:t>
        </x:is>
      </x:c>
    </x:row>
  </x:sheetData>
  <x:pageMargins left="0.7" right="0.7" top="0.75" bottom="0.75" header="0.3" footer="0.3"/>
  <x:tableParts count="1">
    <x:tablePart xmlns:r="http://schemas.openxmlformats.org/officeDocument/2006/relationships" r:id="R87f7217dec58485b"/>
  </x:tableParts>
</x:worksheet>
</file>

<file path=xl/worksheets/sheet14.xml><?xml version="1.0" encoding="utf-8"?>
<x:worksheet xmlns:x="http://schemas.openxmlformats.org/spreadsheetml/2006/main">
  <x:sheetViews>
    <x:sheetView showGridLines="0" workbookViewId="0"/>
  </x:sheetViews>
  <x:sheetFormatPr baseColWidth="8" defaultRowHeight="15"/>
  <x:cols>
    <x:col min="1" max="1" width="24" customWidth="1"/>
    <x:col min="2" max="2" width="20" customWidth="1"/>
    <x:col min="3" max="3" width="20" customWidth="1"/>
    <x:col min="4" max="4" width="28" customWidth="1"/>
    <x:col min="5" max="5" width="16" customWidth="1"/>
    <x:col min="6" max="6" width="32" customWidth="1"/>
    <x:col min="7" max="7" width="18" customWidth="1"/>
    <x:col min="8" max="8" width="26" customWidth="1"/>
    <x:col min="9" max="9" width="34" customWidth="1"/>
    <x:col min="10" max="10" width="42" customWidth="1"/>
    <x:col min="11" max="11" width="19" customWidth="1"/>
    <x:col min="12" max="12" width="18" customWidth="1"/>
    <x:col min="13" max="13" width="18" customWidth="1"/>
    <x:col min="14" max="14" width="18" customWidth="1"/>
    <x:col min="15" max="15" width="18" customWidth="1"/>
    <x:col min="16" max="16" width="18" customWidth="1"/>
    <x:col min="17" max="17" width="22" customWidth="1"/>
    <x:col min="18" max="18" width="28" customWidth="1"/>
    <x:col min="19" max="19" width="28" customWidth="1"/>
    <x:col min="20" max="20" width="40" customWidth="1"/>
    <x:col min="21" max="21" width="44" customWidth="1"/>
    <x:col min="22" max="22" width="44" customWidth="1"/>
  </x:cols>
  <x:sheetData>
    <x:row r="1" ht="50" customHeight="1">
      <x:c r="A1" s="62" t="inlineStr">
        <x:is>
          <x:t xml:space="preserve">Disease area</x:t>
        </x:is>
      </x:c>
      <x:c r="B1" s="62" t="inlineStr">
        <x:is>
          <x:t xml:space="preserve">Overlap indication</x:t>
        </x:is>
      </x:c>
      <x:c r="C1" s="62" t="inlineStr">
        <x:is>
          <x:t xml:space="preserve">Company</x:t>
        </x:is>
      </x:c>
      <x:c r="D1" s="62" t="inlineStr">
        <x:is>
          <x:t xml:space="preserve">Program</x:t>
        </x:is>
      </x:c>
      <x:c r="E1" s="62" t="inlineStr">
        <x:is>
          <x:t xml:space="preserve">Pipeline stage</x:t>
        </x:is>
      </x:c>
      <x:c r="F1" s="62" t="inlineStr">
        <x:is>
          <x:t xml:space="preserve">Representative modality / mechanism</x:t>
        </x:is>
      </x:c>
      <x:c r="G1" s="62" t="inlineStr">
        <x:is>
          <x:t xml:space="preserve">ClinicalTrials.gov ID</x:t>
        </x:is>
      </x:c>
      <x:c r="H1" s="62" t="inlineStr">
        <x:is>
          <x:t xml:space="preserve">Representative trial</x:t>
        </x:is>
      </x:c>
      <x:c r="I1" s="62" t="inlineStr">
        <x:is>
          <x:t xml:space="preserve">Potential launch indication (analyst scenario)</x:t>
        </x:is>
      </x:c>
      <x:c r="J1" s="62" t="inlineStr">
        <x:is>
          <x:t xml:space="preserve">Clinical setting / line of therapy</x:t>
        </x:is>
      </x:c>
      <x:c r="K1" s="62" t="inlineStr">
        <x:is>
          <x:t xml:space="preserve">Primary completion date</x:t>
        </x:is>
      </x:c>
      <x:c r="L1" s="62" t="inlineStr">
        <x:is>
          <x:t xml:space="preserve">Primary completion year</x:t>
        </x:is>
      </x:c>
      <x:c r="M1" s="62" t="inlineStr">
        <x:is>
          <x:t xml:space="preserve">Launch lag - low (years)</x:t>
        </x:is>
      </x:c>
      <x:c r="N1" s="62" t="inlineStr">
        <x:is>
          <x:t xml:space="preserve">Launch lag - high (years)</x:t>
        </x:is>
      </x:c>
      <x:c r="O1" s="62" t="inlineStr">
        <x:is>
          <x:t xml:space="preserve">Illustrative launch start</x:t>
        </x:is>
      </x:c>
      <x:c r="P1" s="62" t="inlineStr">
        <x:is>
          <x:t xml:space="preserve">Illustrative launch end</x:t>
        </x:is>
      </x:c>
      <x:c r="Q1" s="62" t="inlineStr">
        <x:is>
          <x:t xml:space="preserve">Illustrative launch window</x:t>
        </x:is>
      </x:c>
      <x:c r="R1" s="62" t="inlineStr">
        <x:is>
          <x:t xml:space="preserve">Historical sales of asset</x:t>
        </x:is>
      </x:c>
      <x:c r="S1" s="62" t="inlineStr">
        <x:is>
          <x:t xml:space="preserve">Commercial benchmark IDs</x:t>
        </x:is>
      </x:c>
      <x:c r="T1" s="62" t="inlineStr">
        <x:is>
          <x:t xml:space="preserve">Trial URL</x:t>
        </x:is>
      </x:c>
      <x:c r="U1" s="62" t="inlineStr">
        <x:is>
          <x:t xml:space="preserve">Pipeline source URL</x:t>
        </x:is>
      </x:c>
      <x:c r="V1" s="62" t="inlineStr">
        <x:is>
          <x:t xml:space="preserve">Notes</x:t>
        </x:is>
      </x:c>
    </x:row>
    <x:row r="2">
      <x:c r="A2" s="3" t="inlineStr">
        <x:is>
          <x:t xml:space="preserve">Cardiovascular</x:t>
        </x:is>
      </x:c>
      <x:c r="B2" s="3" t="inlineStr">
        <x:is>
          <x:t xml:space="preserve">Heart failure</x:t>
        </x:is>
      </x:c>
      <x:c r="C2" s="63" t="inlineStr">
        <x:is>
          <x:t xml:space="preserve">AstraZeneca</x:t>
        </x:is>
      </x:c>
      <x:c r="D2" s="3" t="inlineStr">
        <x:is>
          <x:t xml:space="preserve">AZD5462</x:t>
        </x:is>
      </x:c>
      <x:c r="E2" s="3" t="inlineStr">
        <x:is>
          <x:t xml:space="preserve">Phase IIb</x:t>
        </x:is>
      </x:c>
      <x:c r="F2" s="3" t="inlineStr">
        <x:is>
          <x:t xml:space="preserve">RXFP1 agonist</x:t>
        </x:is>
      </x:c>
      <x:c r="G2" s="9" t="inlineStr">
        <x:is>
          <x:t xml:space="preserve">NCT06299826</x:t>
        </x:is>
      </x:c>
      <x:c r="H2" s="9" t="inlineStr">
        <x:is>
          <x:t xml:space="preserve">LUMINARA</x:t>
        </x:is>
      </x:c>
      <x:c r="I2" s="3" t="inlineStr">
        <x:is>
          <x:t xml:space="preserve">Chronic heart failure</x:t>
        </x:is>
      </x:c>
      <x:c r="J2" s="9" t="inlineStr">
        <x:is>
          <x:t xml:space="preserve">Stable chronic heart failure; mechanism-focused proof of concept</x:t>
        </x:is>
      </x:c>
      <x:c r="K2" s="64" t="n">
        <x:v>46063</x:v>
      </x:c>
      <x:c r="L2" s="3" t="n">
        <x:f>YEAR(K2)</x:f>
        <x:v>2026</x:v>
      </x:c>
      <x:c r="M2" s="65" t="n">
        <x:v>3</x:v>
      </x:c>
      <x:c r="N2" s="65" t="n">
        <x:v>5</x:v>
      </x:c>
      <x:c r="O2" s="3" t="n">
        <x:f>IF(OR(L2="",M2=""),"",L2+M2)</x:f>
        <x:v>2029</x:v>
      </x:c>
      <x:c r="P2" s="3" t="n">
        <x:f>IF(OR(L2="",N2=""),"",L2+N2)</x:f>
        <x:v>2031</x:v>
      </x:c>
      <x:c r="Q2" s="3" t="str">
        <x:f>IF(O2="","Not estimated",TEXT(O2,"0")&amp;"-"&amp;TEXT(P2,"0"))</x:f>
        <x:v>2029-2031</x:v>
      </x:c>
      <x:c r="R2" s="66" t="inlineStr">
        <x:is>
          <x:t xml:space="preserve">Not launched - no historical sales</x:t>
        </x:is>
      </x:c>
      <x:c r="S2" s="3" t="inlineStr">
        <x:is>
          <x:t xml:space="preserve">HF_CAMZYOS_2025</x:t>
        </x:is>
      </x:c>
      <x:c r="T2" s="9" t="inlineStr">
        <x:is>
          <x:t xml:space="preserve">https://clinicaltrials.gov/study/NCT06299826</x:t>
        </x:is>
      </x:c>
      <x:c r="U2" s="9" t="inlineStr">
        <x:is>
          <x:t xml:space="preserve">https://www.astrazeneca.com/content/dam/az/Investor_Relations/annual-report-2025/pdf/AstraZeneca_Development_Pipeline_2025.pdf</x:t>
        </x:is>
      </x:c>
      <x:c r="V2" s="3" t="inlineStr">
        <x:is>
          <x:t xml:space="preserve">Phase IIb; no pivotal launch assumption is implied.</x:t>
        </x:is>
      </x:c>
    </x:row>
    <x:row r="3">
      <x:c r="A3" s="3" t="inlineStr">
        <x:is>
          <x:t xml:space="preserve">Cardiovascular</x:t>
        </x:is>
      </x:c>
      <x:c r="B3" s="3" t="inlineStr">
        <x:is>
          <x:t xml:space="preserve">Heart failure</x:t>
        </x:is>
      </x:c>
      <x:c r="C3" s="67" t="inlineStr">
        <x:is>
          <x:t xml:space="preserve">Bristol Myers Squibb</x:t>
        </x:is>
      </x:c>
      <x:c r="D3" s="3" t="inlineStr">
        <x:is>
          <x:t xml:space="preserve">MYK-224</x:t>
        </x:is>
      </x:c>
      <x:c r="E3" s="3" t="inlineStr">
        <x:is>
          <x:t xml:space="preserve">Phase IIa</x:t>
        </x:is>
      </x:c>
      <x:c r="F3" s="3" t="inlineStr">
        <x:is>
          <x:t xml:space="preserve">Cardiac myosin inhibitor</x:t>
        </x:is>
      </x:c>
      <x:c r="G3" s="9" t="inlineStr">
        <x:is>
          <x:t xml:space="preserve">NCT06122779</x:t>
        </x:is>
      </x:c>
      <x:c r="H3" s="9" t="inlineStr">
        <x:is>
          <x:t xml:space="preserve">AURORA-HFpEF</x:t>
        </x:is>
      </x:c>
      <x:c r="I3" s="3" t="inlineStr">
        <x:is>
          <x:t xml:space="preserve">Heart failure with preserved ejection fraction</x:t>
        </x:is>
      </x:c>
      <x:c r="J3" s="9" t="inlineStr">
        <x:is>
          <x:t xml:space="preserve">Symptomatic HFpEF; randomized placebo-controlled proof of concept</x:t>
        </x:is>
      </x:c>
      <x:c r="K3" s="64" t="n">
        <x:v>46206</x:v>
      </x:c>
      <x:c r="L3" s="3" t="n">
        <x:f>YEAR(K3)</x:f>
        <x:v>2026</x:v>
      </x:c>
      <x:c r="M3" s="65" t="n">
        <x:v>3</x:v>
      </x:c>
      <x:c r="N3" s="65" t="n">
        <x:v>5</x:v>
      </x:c>
      <x:c r="O3" s="3" t="n">
        <x:f>IF(OR(L3="",M3=""),"",L3+M3)</x:f>
        <x:v>2029</x:v>
      </x:c>
      <x:c r="P3" s="3" t="n">
        <x:f>IF(OR(L3="",N3=""),"",L3+N3)</x:f>
        <x:v>2031</x:v>
      </x:c>
      <x:c r="Q3" s="3" t="str">
        <x:f>IF(O3="","Not estimated",TEXT(O3,"0")&amp;"-"&amp;TEXT(P3,"0"))</x:f>
        <x:v>2029-2031</x:v>
      </x:c>
      <x:c r="R3" s="66" t="inlineStr">
        <x:is>
          <x:t xml:space="preserve">Not launched - no historical sales</x:t>
        </x:is>
      </x:c>
      <x:c r="S3" s="3" t="inlineStr">
        <x:is>
          <x:t xml:space="preserve">HF_CAMZYOS_2025</x:t>
        </x:is>
      </x:c>
      <x:c r="T3" s="9" t="inlineStr">
        <x:is>
          <x:t xml:space="preserve">https://clinicaltrials.gov/study/NCT06122779</x:t>
        </x:is>
      </x:c>
      <x:c r="U3" s="9" t="inlineStr">
        <x:is>
          <x:t xml:space="preserve">https://annual-report.bms.com/assets/bms-ar/documents/2025/2025-bms-development-portfolio.pdf</x:t>
        </x:is>
      </x:c>
      <x:c r="V3" s="3" t="inlineStr">
        <x:is>
          <x:t xml:space="preserve">Cardiac myosin inhibitor; not the same indication as approved Camzyos.</x:t>
        </x:is>
      </x:c>
    </x:row>
    <x:row r="4">
      <x:c r="A4" s="3" t="inlineStr">
        <x:is>
          <x:t xml:space="preserve">Hematology</x:t>
        </x:is>
      </x:c>
      <x:c r="B4" s="3" t="inlineStr">
        <x:is>
          <x:t xml:space="preserve">B-cell lymphoma</x:t>
        </x:is>
      </x:c>
      <x:c r="C4" s="63" t="inlineStr">
        <x:is>
          <x:t xml:space="preserve">AstraZeneca</x:t>
        </x:is>
      </x:c>
      <x:c r="D4" s="3" t="inlineStr">
        <x:is>
          <x:t xml:space="preserve">surovatamig</x:t>
        </x:is>
      </x:c>
      <x:c r="E4" s="3" t="inlineStr">
        <x:is>
          <x:t xml:space="preserve">Phase III</x:t>
        </x:is>
      </x:c>
      <x:c r="F4" s="3" t="inlineStr">
        <x:is>
          <x:t xml:space="preserve">CD19/CD3 T-cell engager</x:t>
        </x:is>
      </x:c>
      <x:c r="G4" s="9" t="inlineStr">
        <x:is>
          <x:t xml:space="preserve">NCT06549595</x:t>
        </x:is>
      </x:c>
      <x:c r="H4" s="9" t="inlineStr">
        <x:is>
          <x:t xml:space="preserve">SOUNDTRACK-F1</x:t>
        </x:is>
      </x:c>
      <x:c r="I4" s="3" t="inlineStr">
        <x:is>
          <x:t xml:space="preserve">Previously untreated follicular lymphoma</x:t>
        </x:is>
      </x:c>
      <x:c r="J4" s="9" t="inlineStr">
        <x:is>
          <x:t xml:space="preserve">First-line; surovatamig plus rituximab versus chemoimmunotherapy</x:t>
        </x:is>
      </x:c>
      <x:c r="K4" s="64" t="n">
        <x:v>48178</x:v>
      </x:c>
      <x:c r="L4" s="3" t="n">
        <x:f>YEAR(K4)</x:f>
        <x:v>2031</x:v>
      </x:c>
      <x:c r="M4" s="65" t="n">
        <x:v>1</x:v>
      </x:c>
      <x:c r="N4" s="65" t="n">
        <x:v>2</x:v>
      </x:c>
      <x:c r="O4" s="3" t="n">
        <x:f>IF(OR(L4="",M4=""),"",L4+M4)</x:f>
        <x:v>2032</x:v>
      </x:c>
      <x:c r="P4" s="3" t="n">
        <x:f>IF(OR(L4="",N4=""),"",L4+N4)</x:f>
        <x:v>2033</x:v>
      </x:c>
      <x:c r="Q4" s="3" t="str">
        <x:f>IF(O4="","Not estimated",TEXT(O4,"0")&amp;"-"&amp;TEXT(P4,"0"))</x:f>
        <x:v>2032-2033</x:v>
      </x:c>
      <x:c r="R4" s="66" t="inlineStr">
        <x:is>
          <x:t xml:space="preserve">Not launched - no historical sales</x:t>
        </x:is>
      </x:c>
      <x:c r="S4" s="3" t="inlineStr">
        <x:is>
          <x:t xml:space="preserve">LYMPHOMA_BREYANZI_2025</x:t>
        </x:is>
      </x:c>
      <x:c r="T4" s="9" t="inlineStr">
        <x:is>
          <x:t xml:space="preserve">https://clinicaltrials.gov/study/NCT06549595</x:t>
        </x:is>
      </x:c>
      <x:c r="U4" s="9" t="inlineStr">
        <x:is>
          <x:t xml:space="preserve">https://www.astrazeneca.com/content/dam/az/Investor_Relations/annual-report-2025/pdf/AstraZeneca_Development_Pipeline_2025.pdf</x:t>
        </x:is>
      </x:c>
      <x:c r="V4" s="3" t="inlineStr">
        <x:is>
          <x:t xml:space="preserve">Representative pivotal study in the B-cell lymphoma territory.</x:t>
        </x:is>
      </x:c>
    </x:row>
    <x:row r="5">
      <x:c r="A5" s="3" t="inlineStr">
        <x:is>
          <x:t xml:space="preserve">Hematology</x:t>
        </x:is>
      </x:c>
      <x:c r="B5" s="3" t="inlineStr">
        <x:is>
          <x:t xml:space="preserve">B-cell lymphoma</x:t>
        </x:is>
      </x:c>
      <x:c r="C5" s="67" t="inlineStr">
        <x:is>
          <x:t xml:space="preserve">Bristol Myers Squibb</x:t>
        </x:is>
      </x:c>
      <x:c r="D5" s="3" t="inlineStr">
        <x:is>
          <x:t xml:space="preserve">golcadomide</x:t>
        </x:is>
      </x:c>
      <x:c r="E5" s="3" t="inlineStr">
        <x:is>
          <x:t xml:space="preserve">Phase III</x:t>
        </x:is>
      </x:c>
      <x:c r="F5" s="3" t="inlineStr">
        <x:is>
          <x:t xml:space="preserve">CELMoD / targeted protein degradation</x:t>
        </x:is>
      </x:c>
      <x:c r="G5" s="9" t="inlineStr">
        <x:is>
          <x:t xml:space="preserve">NCT06356129</x:t>
        </x:is>
      </x:c>
      <x:c r="H5" s="9" t="inlineStr">
        <x:is>
          <x:t xml:space="preserve">GOLSEEK-1</x:t>
        </x:is>
      </x:c>
      <x:c r="I5" s="3" t="inlineStr">
        <x:is>
          <x:t xml:space="preserve">Previously untreated high-risk large B-cell lymphoma</x:t>
        </x:is>
      </x:c>
      <x:c r="J5" s="9" t="inlineStr">
        <x:is>
          <x:t xml:space="preserve">First-line; golcadomide plus R-CHOP</x:t>
        </x:is>
      </x:c>
      <x:c r="K5" s="64" t="n">
        <x:v>46979</x:v>
      </x:c>
      <x:c r="L5" s="3" t="n">
        <x:f>YEAR(K5)</x:f>
        <x:v>2028</x:v>
      </x:c>
      <x:c r="M5" s="65" t="n">
        <x:v>1</x:v>
      </x:c>
      <x:c r="N5" s="65" t="n">
        <x:v>2</x:v>
      </x:c>
      <x:c r="O5" s="3" t="n">
        <x:f>IF(OR(L5="",M5=""),"",L5+M5)</x:f>
        <x:v>2029</x:v>
      </x:c>
      <x:c r="P5" s="3" t="n">
        <x:f>IF(OR(L5="",N5=""),"",L5+N5)</x:f>
        <x:v>2030</x:v>
      </x:c>
      <x:c r="Q5" s="3" t="str">
        <x:f>IF(O5="","Not estimated",TEXT(O5,"0")&amp;"-"&amp;TEXT(P5,"0"))</x:f>
        <x:v>2029-2030</x:v>
      </x:c>
      <x:c r="R5" s="66" t="inlineStr">
        <x:is>
          <x:t xml:space="preserve">Not launched - no historical sales</x:t>
        </x:is>
      </x:c>
      <x:c r="S5" s="3" t="inlineStr">
        <x:is>
          <x:t xml:space="preserve">LYMPHOMA_BREYANZI_2025</x:t>
        </x:is>
      </x:c>
      <x:c r="T5" s="9" t="inlineStr">
        <x:is>
          <x:t xml:space="preserve">https://clinicaltrials.gov/study/NCT06356129</x:t>
        </x:is>
      </x:c>
      <x:c r="U5" s="9" t="inlineStr">
        <x:is>
          <x:t xml:space="preserve">https://annual-report.bms.com/assets/bms-ar/documents/2025/2025-bms-development-portfolio.pdf</x:t>
        </x:is>
      </x:c>
      <x:c r="V5" s="3" t="inlineStr">
        <x:is>
          <x:t xml:space="preserve">Representative Phase III study; additional follicular lymphoma work is underway.</x:t>
        </x:is>
      </x:c>
    </x:row>
    <x:row r="6">
      <x:c r="A6" s="3" t="inlineStr">
        <x:is>
          <x:t xml:space="preserve">Hematology</x:t>
        </x:is>
      </x:c>
      <x:c r="B6" s="3" t="inlineStr">
        <x:is>
          <x:t xml:space="preserve">Multiple myeloma</x:t>
        </x:is>
      </x:c>
      <x:c r="C6" s="63" t="inlineStr">
        <x:is>
          <x:t xml:space="preserve">AstraZeneca</x:t>
        </x:is>
      </x:c>
      <x:c r="D6" s="3" t="inlineStr">
        <x:is>
          <x:t xml:space="preserve">AZD0120</x:t>
        </x:is>
      </x:c>
      <x:c r="E6" s="3" t="inlineStr">
        <x:is>
          <x:t xml:space="preserve">Phase Ib/II</x:t>
        </x:is>
      </x:c>
      <x:c r="F6" s="3" t="inlineStr">
        <x:is>
          <x:t xml:space="preserve">CD19/BCMA CAR-T</x:t>
        </x:is>
      </x:c>
      <x:c r="G6" s="9" t="inlineStr">
        <x:is>
          <x:t xml:space="preserve">NCT05850234</x:t>
        </x:is>
      </x:c>
      <x:c r="H6" s="9" t="inlineStr">
        <x:is>
          <x:t xml:space="preserve">DURGA-1</x:t>
        </x:is>
      </x:c>
      <x:c r="I6" s="3" t="inlineStr">
        <x:is>
          <x:t xml:space="preserve">Relapsed/refractory multiple myeloma</x:t>
        </x:is>
      </x:c>
      <x:c r="J6" s="9" t="inlineStr">
        <x:is>
          <x:t xml:space="preserve">At least three prior lines; CD19/BCMA dual CAR-T</x:t>
        </x:is>
      </x:c>
      <x:c r="K6" s="64" t="n">
        <x:v>46630</x:v>
      </x:c>
      <x:c r="L6" s="3" t="n">
        <x:f>YEAR(K6)</x:f>
        <x:v>2027</x:v>
      </x:c>
      <x:c r="M6" s="65" t="n">
        <x:v>4</x:v>
      </x:c>
      <x:c r="N6" s="65" t="n">
        <x:v>6</x:v>
      </x:c>
      <x:c r="O6" s="3" t="n">
        <x:f>IF(OR(L6="",M6=""),"",L6+M6)</x:f>
        <x:v>2031</x:v>
      </x:c>
      <x:c r="P6" s="3" t="n">
        <x:f>IF(OR(L6="",N6=""),"",L6+N6)</x:f>
        <x:v>2033</x:v>
      </x:c>
      <x:c r="Q6" s="3" t="str">
        <x:f>IF(O6="","Not estimated",TEXT(O6,"0")&amp;"-"&amp;TEXT(P6,"0"))</x:f>
        <x:v>2031-2033</x:v>
      </x:c>
      <x:c r="R6" s="66" t="inlineStr">
        <x:is>
          <x:t xml:space="preserve">Not launched - no historical sales</x:t>
        </x:is>
      </x:c>
      <x:c r="S6" s="3" t="inlineStr">
        <x:is>
          <x:t xml:space="preserve">MM_REVLIMID_2021; MM_POMALYST_2021</x:t>
        </x:is>
      </x:c>
      <x:c r="T6" s="9" t="inlineStr">
        <x:is>
          <x:t xml:space="preserve">https://clinicaltrials.gov/study/NCT05850234</x:t>
        </x:is>
      </x:c>
      <x:c r="U6" s="9" t="inlineStr">
        <x:is>
          <x:t xml:space="preserve">https://www.astrazeneca.com/content/dam/az/Investor_Relations/annual-report-2025/pdf/AstraZeneca_Development_Pipeline_2025.pdf</x:t>
        </x:is>
      </x:c>
      <x:c r="V6" s="3" t="inlineStr">
        <x:is>
          <x:t xml:space="preserve">Early-stage CAR-T program; launch window is highly uncertain.</x:t>
        </x:is>
      </x:c>
    </x:row>
    <x:row r="7">
      <x:c r="A7" s="3" t="inlineStr">
        <x:is>
          <x:t xml:space="preserve">Hematology</x:t>
        </x:is>
      </x:c>
      <x:c r="B7" s="3" t="inlineStr">
        <x:is>
          <x:t xml:space="preserve">Multiple myeloma</x:t>
        </x:is>
      </x:c>
      <x:c r="C7" s="63" t="inlineStr">
        <x:is>
          <x:t xml:space="preserve">AstraZeneca</x:t>
        </x:is>
      </x:c>
      <x:c r="D7" s="3" t="inlineStr">
        <x:is>
          <x:t xml:space="preserve">AZD0305</x:t>
        </x:is>
      </x:c>
      <x:c r="E7" s="3" t="inlineStr">
        <x:is>
          <x:t xml:space="preserve">Phase I/II</x:t>
        </x:is>
      </x:c>
      <x:c r="F7" s="3" t="inlineStr">
        <x:is>
          <x:t xml:space="preserve">GPRC5D MMAE antibody-drug conjugate</x:t>
        </x:is>
      </x:c>
      <x:c r="G7" s="9" t="inlineStr">
        <x:is>
          <x:t xml:space="preserve">NCT06106945</x:t>
        </x:is>
      </x:c>
      <x:c r="H7" s="9" t="inlineStr">
        <x:is>
          <x:t xml:space="preserve">Modular Phase I/II study</x:t>
        </x:is>
      </x:c>
      <x:c r="I7" s="3" t="inlineStr">
        <x:is>
          <x:t xml:space="preserve">Multiple myeloma</x:t>
        </x:is>
      </x:c>
      <x:c r="J7" s="9" t="inlineStr">
        <x:is>
          <x:t xml:space="preserve">Monotherapy and combination dose escalation/expansion</x:t>
        </x:is>
      </x:c>
      <x:c r="K7" s="64" t="n">
        <x:v>46615</x:v>
      </x:c>
      <x:c r="L7" s="3" t="n">
        <x:f>YEAR(K7)</x:f>
        <x:v>2027</x:v>
      </x:c>
      <x:c r="M7" s="65" t="n">
        <x:v>4</x:v>
      </x:c>
      <x:c r="N7" s="65" t="n">
        <x:v>6</x:v>
      </x:c>
      <x:c r="O7" s="3" t="n">
        <x:f>IF(OR(L7="",M7=""),"",L7+M7)</x:f>
        <x:v>2031</x:v>
      </x:c>
      <x:c r="P7" s="3" t="n">
        <x:f>IF(OR(L7="",N7=""),"",L7+N7)</x:f>
        <x:v>2033</x:v>
      </x:c>
      <x:c r="Q7" s="3" t="str">
        <x:f>IF(O7="","Not estimated",TEXT(O7,"0")&amp;"-"&amp;TEXT(P7,"0"))</x:f>
        <x:v>2031-2033</x:v>
      </x:c>
      <x:c r="R7" s="66" t="inlineStr">
        <x:is>
          <x:t xml:space="preserve">Not launched - no historical sales</x:t>
        </x:is>
      </x:c>
      <x:c r="S7" s="3" t="inlineStr">
        <x:is>
          <x:t xml:space="preserve">MM_REVLIMID_2021; MM_POMALYST_2021</x:t>
        </x:is>
      </x:c>
      <x:c r="T7" s="9" t="inlineStr">
        <x:is>
          <x:t xml:space="preserve">https://clinicaltrials.gov/study/NCT06106945</x:t>
        </x:is>
      </x:c>
      <x:c r="U7" s="9" t="inlineStr">
        <x:is>
          <x:t xml:space="preserve">https://www.astrazeneca.com/content/dam/az/Investor_Relations/annual-report-2025/pdf/AstraZeneca_Development_Pipeline_2025.pdf</x:t>
        </x:is>
      </x:c>
      <x:c r="V7" s="3" t="inlineStr">
        <x:is>
          <x:t xml:space="preserve">GPRC5D ADC; launch window is highly uncertain.</x:t>
        </x:is>
      </x:c>
    </x:row>
    <x:row r="8">
      <x:c r="A8" s="3" t="inlineStr">
        <x:is>
          <x:t xml:space="preserve">Hematology</x:t>
        </x:is>
      </x:c>
      <x:c r="B8" s="3" t="inlineStr">
        <x:is>
          <x:t xml:space="preserve">Multiple myeloma</x:t>
        </x:is>
      </x:c>
      <x:c r="C8" s="67" t="inlineStr">
        <x:is>
          <x:t xml:space="preserve">Bristol Myers Squibb</x:t>
        </x:is>
      </x:c>
      <x:c r="D8" s="3" t="inlineStr">
        <x:is>
          <x:t xml:space="preserve">arlo-cel</x:t>
        </x:is>
      </x:c>
      <x:c r="E8" s="3" t="inlineStr">
        <x:is>
          <x:t xml:space="preserve">Phase III</x:t>
        </x:is>
      </x:c>
      <x:c r="F8" s="3" t="inlineStr">
        <x:is>
          <x:t xml:space="preserve">GPRC5D-directed autologous CAR-T</x:t>
        </x:is>
      </x:c>
      <x:c r="G8" s="9" t="inlineStr">
        <x:is>
          <x:t xml:space="preserve">NCT06615479</x:t>
        </x:is>
      </x:c>
      <x:c r="H8" s="9" t="inlineStr">
        <x:is>
          <x:t xml:space="preserve">QUINTESSENTIAL-2</x:t>
        </x:is>
      </x:c>
      <x:c r="I8" s="3" t="inlineStr">
        <x:is>
          <x:t xml:space="preserve">Relapsed/refractory, lenalidomide-exposed multiple myeloma</x:t>
        </x:is>
      </x:c>
      <x:c r="J8" s="9" t="inlineStr">
        <x:is>
          <x:t xml:space="preserve">Relapsed/refractory setting; versus standard regimens</x:t>
        </x:is>
      </x:c>
      <x:c r="K8" s="64" t="n">
        <x:v>46751</x:v>
      </x:c>
      <x:c r="L8" s="3" t="n">
        <x:f>YEAR(K8)</x:f>
        <x:v>2027</x:v>
      </x:c>
      <x:c r="M8" s="65" t="n">
        <x:v>1</x:v>
      </x:c>
      <x:c r="N8" s="65" t="n">
        <x:v>2</x:v>
      </x:c>
      <x:c r="O8" s="3" t="n">
        <x:f>IF(OR(L8="",M8=""),"",L8+M8)</x:f>
        <x:v>2028</x:v>
      </x:c>
      <x:c r="P8" s="3" t="n">
        <x:f>IF(OR(L8="",N8=""),"",L8+N8)</x:f>
        <x:v>2029</x:v>
      </x:c>
      <x:c r="Q8" s="3" t="str">
        <x:f>IF(O8="","Not estimated",TEXT(O8,"0")&amp;"-"&amp;TEXT(P8,"0"))</x:f>
        <x:v>2028-2029</x:v>
      </x:c>
      <x:c r="R8" s="66" t="inlineStr">
        <x:is>
          <x:t xml:space="preserve">Not launched - no historical sales</x:t>
        </x:is>
      </x:c>
      <x:c r="S8" s="3" t="inlineStr">
        <x:is>
          <x:t xml:space="preserve">MM_REVLIMID_2021; MM_POMALYST_2021</x:t>
        </x:is>
      </x:c>
      <x:c r="T8" s="9" t="inlineStr">
        <x:is>
          <x:t xml:space="preserve">https://clinicaltrials.gov/study/NCT06615479</x:t>
        </x:is>
      </x:c>
      <x:c r="U8" s="9" t="inlineStr">
        <x:is>
          <x:t xml:space="preserve">https://annual-report.bms.com/assets/bms-ar/documents/2025/2025-bms-development-portfolio.pdf</x:t>
        </x:is>
      </x:c>
      <x:c r="V8" s="3" t="inlineStr">
        <x:is>
          <x:t xml:space="preserve">GPRC5D-directed CAR-T; program also has a later-line Phase II study.</x:t>
        </x:is>
      </x:c>
    </x:row>
    <x:row r="9">
      <x:c r="A9" s="3" t="inlineStr">
        <x:is>
          <x:t xml:space="preserve">Hematology</x:t>
        </x:is>
      </x:c>
      <x:c r="B9" s="3" t="inlineStr">
        <x:is>
          <x:t xml:space="preserve">Multiple myeloma</x:t>
        </x:is>
      </x:c>
      <x:c r="C9" s="67" t="inlineStr">
        <x:is>
          <x:t xml:space="preserve">Bristol Myers Squibb</x:t>
        </x:is>
      </x:c>
      <x:c r="D9" s="3" t="inlineStr">
        <x:is>
          <x:t xml:space="preserve">iberdomide</x:t>
        </x:is>
      </x:c>
      <x:c r="E9" s="3" t="inlineStr">
        <x:is>
          <x:t xml:space="preserve">Phase III</x:t>
        </x:is>
      </x:c>
      <x:c r="F9" s="3" t="inlineStr">
        <x:is>
          <x:t xml:space="preserve">CELMoD / targeted protein degradation</x:t>
        </x:is>
      </x:c>
      <x:c r="G9" s="9" t="inlineStr">
        <x:is>
          <x:t xml:space="preserve">NCT05827016</x:t>
        </x:is>
      </x:c>
      <x:c r="H9" s="9" t="inlineStr">
        <x:is>
          <x:t xml:space="preserve">EXCALIBER-Maintenance</x:t>
        </x:is>
      </x:c>
      <x:c r="I9" s="3" t="inlineStr">
        <x:is>
          <x:t xml:space="preserve">Newly diagnosed multiple myeloma maintenance</x:t>
        </x:is>
      </x:c>
      <x:c r="J9" s="9" t="inlineStr">
        <x:is>
          <x:t xml:space="preserve">Maintenance following autologous stem-cell transplant</x:t>
        </x:is>
      </x:c>
      <x:c r="K9" s="64" t="n">
        <x:v>47192</x:v>
      </x:c>
      <x:c r="L9" s="3" t="n">
        <x:f>YEAR(K9)</x:f>
        <x:v>2029</x:v>
      </x:c>
      <x:c r="M9" s="65" t="n">
        <x:v>1</x:v>
      </x:c>
      <x:c r="N9" s="65" t="n">
        <x:v>2</x:v>
      </x:c>
      <x:c r="O9" s="3" t="n">
        <x:f>IF(OR(L9="",M9=""),"",L9+M9)</x:f>
        <x:v>2030</x:v>
      </x:c>
      <x:c r="P9" s="3" t="n">
        <x:f>IF(OR(L9="",N9=""),"",L9+N9)</x:f>
        <x:v>2031</x:v>
      </x:c>
      <x:c r="Q9" s="3" t="str">
        <x:f>IF(O9="","Not estimated",TEXT(O9,"0")&amp;"-"&amp;TEXT(P9,"0"))</x:f>
        <x:v>2030-2031</x:v>
      </x:c>
      <x:c r="R9" s="66" t="inlineStr">
        <x:is>
          <x:t xml:space="preserve">Not launched - no historical sales</x:t>
        </x:is>
      </x:c>
      <x:c r="S9" s="3" t="inlineStr">
        <x:is>
          <x:t xml:space="preserve">MM_REVLIMID_2021; MM_POMALYST_2021</x:t>
        </x:is>
      </x:c>
      <x:c r="T9" s="9" t="inlineStr">
        <x:is>
          <x:t xml:space="preserve">https://clinicaltrials.gov/study/NCT05827016</x:t>
        </x:is>
      </x:c>
      <x:c r="U9" s="9" t="inlineStr">
        <x:is>
          <x:t xml:space="preserve">https://annual-report.bms.com/assets/bms-ar/documents/2025/2025-bms-development-portfolio.pdf</x:t>
        </x:is>
      </x:c>
      <x:c r="V9" s="3" t="inlineStr">
        <x:is>
          <x:t xml:space="preserve">Representative Phase III study; the asset has a broader development program.</x:t>
        </x:is>
      </x:c>
    </x:row>
    <x:row r="10">
      <x:c r="A10" s="3" t="inlineStr">
        <x:is>
          <x:t xml:space="preserve">Hematology</x:t>
        </x:is>
      </x:c>
      <x:c r="B10" s="3" t="inlineStr">
        <x:is>
          <x:t xml:space="preserve">Multiple myeloma</x:t>
        </x:is>
      </x:c>
      <x:c r="C10" s="67" t="inlineStr">
        <x:is>
          <x:t xml:space="preserve">Bristol Myers Squibb</x:t>
        </x:is>
      </x:c>
      <x:c r="D10" s="3" t="inlineStr">
        <x:is>
          <x:t xml:space="preserve">mezigdomide</x:t>
        </x:is>
      </x:c>
      <x:c r="E10" s="3" t="inlineStr">
        <x:is>
          <x:t xml:space="preserve">Phase III</x:t>
        </x:is>
      </x:c>
      <x:c r="F10" s="3" t="inlineStr">
        <x:is>
          <x:t xml:space="preserve">CELMoD / targeted protein degradation</x:t>
        </x:is>
      </x:c>
      <x:c r="G10" s="9" t="inlineStr">
        <x:is>
          <x:t xml:space="preserve">NCT05552976</x:t>
        </x:is>
      </x:c>
      <x:c r="H10" s="9" t="inlineStr">
        <x:is>
          <x:t xml:space="preserve">SUCCESSOR-2</x:t>
        </x:is>
      </x:c>
      <x:c r="I10" s="3" t="inlineStr">
        <x:is>
          <x:t xml:space="preserve">Relapsed/refractory multiple myeloma</x:t>
        </x:is>
      </x:c>
      <x:c r="J10" s="9" t="inlineStr">
        <x:is>
          <x:t xml:space="preserve">Mezigdomide-carfilzomib-dexamethasone versus carfilzomib-dexamethasone</x:t>
        </x:is>
      </x:c>
      <x:c r="K10" s="64" t="n">
        <x:v>46221</x:v>
      </x:c>
      <x:c r="L10" s="3" t="n">
        <x:f>YEAR(K10)</x:f>
        <x:v>2026</x:v>
      </x:c>
      <x:c r="M10" s="65" t="n">
        <x:v>1</x:v>
      </x:c>
      <x:c r="N10" s="65" t="n">
        <x:v>2</x:v>
      </x:c>
      <x:c r="O10" s="3" t="n">
        <x:f>IF(OR(L10="",M10=""),"",L10+M10)</x:f>
        <x:v>2027</x:v>
      </x:c>
      <x:c r="P10" s="3" t="n">
        <x:f>IF(OR(L10="",N10=""),"",L10+N10)</x:f>
        <x:v>2028</x:v>
      </x:c>
      <x:c r="Q10" s="3" t="str">
        <x:f>IF(O10="","Not estimated",TEXT(O10,"0")&amp;"-"&amp;TEXT(P10,"0"))</x:f>
        <x:v>2027-2028</x:v>
      </x:c>
      <x:c r="R10" s="66" t="inlineStr">
        <x:is>
          <x:t xml:space="preserve">Not launched - no historical sales</x:t>
        </x:is>
      </x:c>
      <x:c r="S10" s="3" t="inlineStr">
        <x:is>
          <x:t xml:space="preserve">MM_REVLIMID_2021; MM_POMALYST_2021</x:t>
        </x:is>
      </x:c>
      <x:c r="T10" s="9" t="inlineStr">
        <x:is>
          <x:t xml:space="preserve">https://clinicaltrials.gov/study/NCT05552976</x:t>
        </x:is>
      </x:c>
      <x:c r="U10" s="9" t="inlineStr">
        <x:is>
          <x:t xml:space="preserve">https://annual-report.bms.com/assets/bms-ar/documents/2025/2025-bms-development-portfolio.pdf</x:t>
        </x:is>
      </x:c>
      <x:c r="V10" s="3" t="inlineStr">
        <x:is>
          <x:t xml:space="preserve">BMS reported positive Phase III results in 2026; launch timing remains an analyst scenario.</x:t>
        </x:is>
      </x:c>
    </x:row>
    <x:row r="11">
      <x:c r="A11" s="3" t="inlineStr">
        <x:is>
          <x:t xml:space="preserve">Solid-tumor oncology</x:t>
        </x:is>
      </x:c>
      <x:c r="B11" s="3" t="inlineStr">
        <x:is>
          <x:t xml:space="preserve">NSCLC</x:t>
        </x:is>
      </x:c>
      <x:c r="C11" s="63" t="inlineStr">
        <x:is>
          <x:t xml:space="preserve">AstraZeneca</x:t>
        </x:is>
      </x:c>
      <x:c r="D11" s="3" t="inlineStr">
        <x:is>
          <x:t xml:space="preserve">IPH5201</x:t>
        </x:is>
      </x:c>
      <x:c r="E11" s="3" t="inlineStr">
        <x:is>
          <x:t xml:space="preserve">Phase II</x:t>
        </x:is>
      </x:c>
      <x:c r="F11" s="3" t="inlineStr">
        <x:is>
          <x:t xml:space="preserve">CD39 monoclonal antibody</x:t>
        </x:is>
      </x:c>
      <x:c r="G11" s="9" t="inlineStr">
        <x:is>
          <x:t xml:space="preserve">NCT05742607</x:t>
        </x:is>
      </x:c>
      <x:c r="H11" s="9" t="inlineStr">
        <x:is>
          <x:t xml:space="preserve">MATISSE</x:t>
        </x:is>
      </x:c>
      <x:c r="I11" s="3" t="inlineStr">
        <x:is>
          <x:t xml:space="preserve">Resectable stage II-IIIA NSCLC</x:t>
        </x:is>
      </x:c>
      <x:c r="J11" s="9" t="inlineStr">
        <x:is>
          <x:t xml:space="preserve">Untreated; neoadjuvant therapy before surgery followed by adjuvant therapy</x:t>
        </x:is>
      </x:c>
      <x:c r="K11" s="9" t="inlineStr">
        <x:is>
          <x:t xml:space="preserve">2025-06</x:t>
        </x:is>
      </x:c>
      <x:c r="L11" s="3" t="n">
        <x:f>IF(K11="","",VALUE(LEFT(K11,4)))</x:f>
        <x:v>2025</x:v>
      </x:c>
      <x:c r="M11" s="65" t="n">
        <x:v>3</x:v>
      </x:c>
      <x:c r="N11" s="65" t="n">
        <x:v>5</x:v>
      </x:c>
      <x:c r="O11" s="3" t="n">
        <x:f>IF(OR(L11="",M11=""),"",L11+M11)</x:f>
        <x:v>2028</x:v>
      </x:c>
      <x:c r="P11" s="3" t="n">
        <x:f>IF(OR(L11="",N11=""),"",L11+N11)</x:f>
        <x:v>2030</x:v>
      </x:c>
      <x:c r="Q11" s="3" t="str">
        <x:f>IF(O11="","Not estimated",TEXT(O11,"0")&amp;"-"&amp;TEXT(P11,"0"))</x:f>
        <x:v>2028-2030</x:v>
      </x:c>
      <x:c r="R11" s="66" t="inlineStr">
        <x:is>
          <x:t xml:space="preserve">Not launched - no historical sales</x:t>
        </x:is>
      </x:c>
      <x:c r="S11" s="3" t="inlineStr">
        <x:is>
          <x:t xml:space="preserve">NSCLC_TAGRISSO_2025; NSCLC_OPDIVO_2025</x:t>
        </x:is>
      </x:c>
      <x:c r="T11" s="9" t="inlineStr">
        <x:is>
          <x:t xml:space="preserve">https://clinicaltrials.gov/study/NCT05742607</x:t>
        </x:is>
      </x:c>
      <x:c r="U11" s="9" t="inlineStr">
        <x:is>
          <x:t xml:space="preserve">https://www.astrazeneca.com/content/dam/az/Investor_Relations/annual-report-2025/pdf/AstraZeneca_Development_Pipeline_2025.pdf</x:t>
        </x:is>
      </x:c>
      <x:c r="V11" s="3" t="inlineStr">
        <x:is>
          <x:t xml:space="preserve">Early-stage study; no pivotal launch assumption is implied.</x:t>
        </x:is>
      </x:c>
    </x:row>
    <x:row r="12">
      <x:c r="A12" s="3" t="inlineStr">
        <x:is>
          <x:t xml:space="preserve">Solid-tumor oncology</x:t>
        </x:is>
      </x:c>
      <x:c r="B12" s="3" t="inlineStr">
        <x:is>
          <x:t xml:space="preserve">NSCLC</x:t>
        </x:is>
      </x:c>
      <x:c r="C12" s="63" t="inlineStr">
        <x:is>
          <x:t xml:space="preserve">AstraZeneca</x:t>
        </x:is>
      </x:c>
      <x:c r="D12" s="3" t="inlineStr">
        <x:is>
          <x:t xml:space="preserve">rilvegostomig</x:t>
        </x:is>
      </x:c>
      <x:c r="E12" s="3" t="inlineStr">
        <x:is>
          <x:t xml:space="preserve">Phase III</x:t>
        </x:is>
      </x:c>
      <x:c r="F12" s="3" t="inlineStr">
        <x:is>
          <x:t xml:space="preserve">PD-1/TIGIT bispecific antibody</x:t>
        </x:is>
      </x:c>
      <x:c r="G12" s="9" t="inlineStr">
        <x:is>
          <x:t xml:space="preserve">NCT06692738</x:t>
        </x:is>
      </x:c>
      <x:c r="H12" s="9" t="inlineStr">
        <x:is>
          <x:t xml:space="preserve">ARTEMIDE-Lung02</x:t>
        </x:is>
      </x:c>
      <x:c r="I12" s="3" t="inlineStr">
        <x:is>
          <x:t xml:space="preserve">Metastatic squamous NSCLC, PD-L1 &gt;=1%</x:t>
        </x:is>
      </x:c>
      <x:c r="J12" s="9" t="inlineStr">
        <x:is>
          <x:t xml:space="preserve">First-line; rilvegostomig plus platinum chemotherapy</x:t>
        </x:is>
      </x:c>
      <x:c r="K12" s="64" t="n">
        <x:v>47154</x:v>
      </x:c>
      <x:c r="L12" s="3" t="n">
        <x:f>YEAR(K12)</x:f>
        <x:v>2029</x:v>
      </x:c>
      <x:c r="M12" s="65" t="n">
        <x:v>1</x:v>
      </x:c>
      <x:c r="N12" s="65" t="n">
        <x:v>2</x:v>
      </x:c>
      <x:c r="O12" s="3" t="n">
        <x:f>IF(OR(L12="",M12=""),"",L12+M12)</x:f>
        <x:v>2030</x:v>
      </x:c>
      <x:c r="P12" s="3" t="n">
        <x:f>IF(OR(L12="",N12=""),"",L12+N12)</x:f>
        <x:v>2031</x:v>
      </x:c>
      <x:c r="Q12" s="3" t="str">
        <x:f>IF(O12="","Not estimated",TEXT(O12,"0")&amp;"-"&amp;TEXT(P12,"0"))</x:f>
        <x:v>2030-2031</x:v>
      </x:c>
      <x:c r="R12" s="66" t="inlineStr">
        <x:is>
          <x:t xml:space="preserve">Not launched - no historical sales</x:t>
        </x:is>
      </x:c>
      <x:c r="S12" s="3" t="inlineStr">
        <x:is>
          <x:t xml:space="preserve">NSCLC_TAGRISSO_2025; NSCLC_OPDIVO_2025</x:t>
        </x:is>
      </x:c>
      <x:c r="T12" s="9" t="inlineStr">
        <x:is>
          <x:t xml:space="preserve">https://clinicaltrials.gov/study/NCT06692738</x:t>
        </x:is>
      </x:c>
      <x:c r="U12" s="9" t="inlineStr">
        <x:is>
          <x:t xml:space="preserve">https://www.astrazeneca.com/content/dam/az/Investor_Relations/annual-report-2025/pdf/AstraZeneca_Development_Pipeline_2025.pdf</x:t>
        </x:is>
      </x:c>
      <x:c r="V12" s="3" t="inlineStr">
        <x:is>
          <x:t xml:space="preserve">Representative pivotal study; the asset has additional NSCLC programs.</x:t>
        </x:is>
      </x:c>
    </x:row>
    <x:row r="13">
      <x:c r="A13" s="3" t="inlineStr">
        <x:is>
          <x:t xml:space="preserve">Solid-tumor oncology</x:t>
        </x:is>
      </x:c>
      <x:c r="B13" s="3" t="inlineStr">
        <x:is>
          <x:t xml:space="preserve">NSCLC</x:t>
        </x:is>
      </x:c>
      <x:c r="C13" s="63" t="inlineStr">
        <x:is>
          <x:t xml:space="preserve">AstraZeneca</x:t>
        </x:is>
      </x:c>
      <x:c r="D13" s="3" t="inlineStr">
        <x:is>
          <x:t xml:space="preserve">volrustomig</x:t>
        </x:is>
      </x:c>
      <x:c r="E13" s="3" t="inlineStr">
        <x:is>
          <x:t xml:space="preserve">Phase III</x:t>
        </x:is>
      </x:c>
      <x:c r="F13" s="3" t="inlineStr">
        <x:is>
          <x:t xml:space="preserve">PD-1/CTLA-4 bispecific antibody</x:t>
        </x:is>
      </x:c>
      <x:c r="G13" s="9" t="inlineStr">
        <x:is>
          <x:t xml:space="preserve">NCT05984277</x:t>
        </x:is>
      </x:c>
      <x:c r="H13" s="9" t="inlineStr">
        <x:is>
          <x:t xml:space="preserve">eVOLVE-Lung02</x:t>
        </x:is>
      </x:c>
      <x:c r="I13" s="3" t="inlineStr">
        <x:is>
          <x:t xml:space="preserve">Metastatic NSCLC, PD-L1 &lt;50%</x:t>
        </x:is>
      </x:c>
      <x:c r="J13" s="9" t="inlineStr">
        <x:is>
          <x:t xml:space="preserve">First-line; volrustomig plus histology-specific chemotherapy</x:t>
        </x:is>
      </x:c>
      <x:c r="K13" s="64" t="n">
        <x:v>46867</x:v>
      </x:c>
      <x:c r="L13" s="3" t="n">
        <x:f>YEAR(K13)</x:f>
        <x:v>2028</x:v>
      </x:c>
      <x:c r="M13" s="65" t="n">
        <x:v>1</x:v>
      </x:c>
      <x:c r="N13" s="65" t="n">
        <x:v>2</x:v>
      </x:c>
      <x:c r="O13" s="3" t="n">
        <x:f>IF(OR(L13="",M13=""),"",L13+M13)</x:f>
        <x:v>2029</x:v>
      </x:c>
      <x:c r="P13" s="3" t="n">
        <x:f>IF(OR(L13="",N13=""),"",L13+N13)</x:f>
        <x:v>2030</x:v>
      </x:c>
      <x:c r="Q13" s="3" t="str">
        <x:f>IF(O13="","Not estimated",TEXT(O13,"0")&amp;"-"&amp;TEXT(P13,"0"))</x:f>
        <x:v>2029-2030</x:v>
      </x:c>
      <x:c r="R13" s="66" t="inlineStr">
        <x:is>
          <x:t xml:space="preserve">Not launched - no historical sales</x:t>
        </x:is>
      </x:c>
      <x:c r="S13" s="3" t="inlineStr">
        <x:is>
          <x:t xml:space="preserve">NSCLC_TAGRISSO_2025; NSCLC_OPDIVO_2025</x:t>
        </x:is>
      </x:c>
      <x:c r="T13" s="9" t="inlineStr">
        <x:is>
          <x:t xml:space="preserve">https://clinicaltrials.gov/study/NCT05984277</x:t>
        </x:is>
      </x:c>
      <x:c r="U13" s="9" t="inlineStr">
        <x:is>
          <x:t xml:space="preserve">https://www.astrazeneca.com/content/dam/az/Investor_Relations/annual-report-2025/pdf/AstraZeneca_Development_Pipeline_2025.pdf</x:t>
        </x:is>
      </x:c>
      <x:c r="V13" s="3" t="inlineStr">
        <x:is>
          <x:t xml:space="preserve">Representative pivotal study.</x:t>
        </x:is>
      </x:c>
    </x:row>
    <x:row r="14">
      <x:c r="A14" s="3" t="inlineStr">
        <x:is>
          <x:t xml:space="preserve">Solid-tumor oncology</x:t>
        </x:is>
      </x:c>
      <x:c r="B14" s="3" t="inlineStr">
        <x:is>
          <x:t xml:space="preserve">NSCLC</x:t>
        </x:is>
      </x:c>
      <x:c r="C14" s="67" t="inlineStr">
        <x:is>
          <x:t xml:space="preserve">Bristol Myers Squibb</x:t>
        </x:is>
      </x:c>
      <x:c r="D14" s="3" t="inlineStr">
        <x:is>
          <x:t xml:space="preserve">izalontamab brengitecan (iza-bren)</x:t>
        </x:is>
      </x:c>
      <x:c r="E14" s="3" t="inlineStr">
        <x:is>
          <x:t xml:space="preserve">Phase II/III</x:t>
        </x:is>
      </x:c>
      <x:c r="F14" s="3" t="inlineStr">
        <x:is>
          <x:t xml:space="preserve">EGFR x HER3 bispecific antibody-drug conjugate</x:t>
        </x:is>
      </x:c>
      <x:c r="G14" s="9" t="inlineStr">
        <x:is>
          <x:t xml:space="preserve">NCT07100080</x:t>
        </x:is>
      </x:c>
      <x:c r="H14" s="9" t="inlineStr">
        <x:is>
          <x:t xml:space="preserve">IZABRIGHT-Lung01</x:t>
        </x:is>
      </x:c>
      <x:c r="I14" s="3" t="inlineStr">
        <x:is>
          <x:t xml:space="preserve">EGFR-mutated NSCLC after EGFR-TKI failure</x:t>
        </x:is>
      </x:c>
      <x:c r="J14" s="9" t="inlineStr">
        <x:is>
          <x:t xml:space="preserve">Post-EGFR TKI; compared with platinum-pemetrexed</x:t>
        </x:is>
      </x:c>
      <x:c r="K14" s="64" t="n">
        <x:v>47102</x:v>
      </x:c>
      <x:c r="L14" s="3" t="n">
        <x:f>YEAR(K14)</x:f>
        <x:v>2028</x:v>
      </x:c>
      <x:c r="M14" s="65" t="n">
        <x:v>1</x:v>
      </x:c>
      <x:c r="N14" s="65" t="n">
        <x:v>3</x:v>
      </x:c>
      <x:c r="O14" s="3" t="n">
        <x:f>IF(OR(L14="",M14=""),"",L14+M14)</x:f>
        <x:v>2029</x:v>
      </x:c>
      <x:c r="P14" s="3" t="n">
        <x:f>IF(OR(L14="",N14=""),"",L14+N14)</x:f>
        <x:v>2031</x:v>
      </x:c>
      <x:c r="Q14" s="3" t="str">
        <x:f>IF(O14="","Not estimated",TEXT(O14,"0")&amp;"-"&amp;TEXT(P14,"0"))</x:f>
        <x:v>2029-2031</x:v>
      </x:c>
      <x:c r="R14" s="66" t="inlineStr">
        <x:is>
          <x:t xml:space="preserve">Not launched - no historical sales</x:t>
        </x:is>
      </x:c>
      <x:c r="S14" s="3" t="inlineStr">
        <x:is>
          <x:t xml:space="preserve">NSCLC_TAGRISSO_2025; NSCLC_OPDIVO_2025</x:t>
        </x:is>
      </x:c>
      <x:c r="T14" s="9" t="inlineStr">
        <x:is>
          <x:t xml:space="preserve">https://clinicaltrials.gov/study/NCT07100080</x:t>
        </x:is>
      </x:c>
      <x:c r="U14" s="9" t="inlineStr">
        <x:is>
          <x:t xml:space="preserve">https://annual-report.bms.com/assets/bms-ar/documents/2025/2025-bms-development-portfolio.pdf</x:t>
        </x:is>
      </x:c>
      <x:c r="V14" s="3" t="inlineStr">
        <x:is>
          <x:t xml:space="preserve">Phase II/III design.</x:t>
        </x:is>
      </x:c>
    </x:row>
    <x:row r="15">
      <x:c r="A15" s="3" t="inlineStr">
        <x:is>
          <x:t xml:space="preserve">Solid-tumor oncology</x:t>
        </x:is>
      </x:c>
      <x:c r="B15" s="3" t="inlineStr">
        <x:is>
          <x:t xml:space="preserve">NSCLC</x:t>
        </x:is>
      </x:c>
      <x:c r="C15" s="67" t="inlineStr">
        <x:is>
          <x:t xml:space="preserve">Bristol Myers Squibb</x:t>
        </x:is>
      </x:c>
      <x:c r="D15" s="3" t="inlineStr">
        <x:is>
          <x:t xml:space="preserve">navlimetostat</x:t>
        </x:is>
      </x:c>
      <x:c r="E15" s="3" t="inlineStr">
        <x:is>
          <x:t xml:space="preserve">Phase II</x:t>
        </x:is>
      </x:c>
      <x:c r="F15" s="3" t="inlineStr">
        <x:is>
          <x:t xml:space="preserve">PRMT5 inhibitor</x:t>
        </x:is>
      </x:c>
      <x:c r="G15" s="9" t="inlineStr">
        <x:is>
          <x:t xml:space="preserve">NCT06855771</x:t>
        </x:is>
      </x:c>
      <x:c r="H15" s="9" t="inlineStr">
        <x:is>
          <x:t xml:space="preserve">MountainTAP-9</x:t>
        </x:is>
      </x:c>
      <x:c r="I15" s="3" t="inlineStr">
        <x:is>
          <x:t xml:space="preserve">MTAP-deleted advanced or metastatic NSCLC</x:t>
        </x:is>
      </x:c>
      <x:c r="J15" s="9" t="inlineStr">
        <x:is>
          <x:t xml:space="preserve">Previously treated; after progression on prior therapies</x:t>
        </x:is>
      </x:c>
      <x:c r="K15" s="64" t="n">
        <x:v>47116</x:v>
      </x:c>
      <x:c r="L15" s="3" t="n">
        <x:f>YEAR(K15)</x:f>
        <x:v>2028</x:v>
      </x:c>
      <x:c r="M15" s="65" t="n">
        <x:v>3</x:v>
      </x:c>
      <x:c r="N15" s="65" t="n">
        <x:v>5</x:v>
      </x:c>
      <x:c r="O15" s="3" t="n">
        <x:f>IF(OR(L15="",M15=""),"",L15+M15)</x:f>
        <x:v>2031</x:v>
      </x:c>
      <x:c r="P15" s="3" t="n">
        <x:f>IF(OR(L15="",N15=""),"",L15+N15)</x:f>
        <x:v>2033</x:v>
      </x:c>
      <x:c r="Q15" s="3" t="str">
        <x:f>IF(O15="","Not estimated",TEXT(O15,"0")&amp;"-"&amp;TEXT(P15,"0"))</x:f>
        <x:v>2031-2033</x:v>
      </x:c>
      <x:c r="R15" s="66" t="inlineStr">
        <x:is>
          <x:t xml:space="preserve">Not launched - no historical sales</x:t>
        </x:is>
      </x:c>
      <x:c r="S15" s="3" t="inlineStr">
        <x:is>
          <x:t xml:space="preserve">NSCLC_TAGRISSO_2025; NSCLC_OPDIVO_2025</x:t>
        </x:is>
      </x:c>
      <x:c r="T15" s="9" t="inlineStr">
        <x:is>
          <x:t xml:space="preserve">https://clinicaltrials.gov/study/NCT06855771</x:t>
        </x:is>
      </x:c>
      <x:c r="U15" s="9" t="inlineStr">
        <x:is>
          <x:t xml:space="preserve">https://annual-report.bms.com/assets/bms-ar/documents/2025/2025-bms-development-portfolio.pdf</x:t>
        </x:is>
      </x:c>
      <x:c r="V15" s="3" t="inlineStr">
        <x:is>
          <x:t xml:space="preserve">Phase II; a registrational path is not assumed.</x:t>
        </x:is>
      </x:c>
    </x:row>
    <x:row r="16">
      <x:c r="A16" s="3" t="inlineStr">
        <x:is>
          <x:t xml:space="preserve">Solid-tumor oncology</x:t>
        </x:is>
      </x:c>
      <x:c r="B16" s="3" t="inlineStr">
        <x:is>
          <x:t xml:space="preserve">NSCLC</x:t>
        </x:is>
      </x:c>
      <x:c r="C16" s="67" t="inlineStr">
        <x:is>
          <x:t xml:space="preserve">Bristol Myers Squibb</x:t>
        </x:is>
      </x:c>
      <x:c r="D16" s="3" t="inlineStr">
        <x:is>
          <x:t xml:space="preserve">nivolumab + relatlimab HD</x:t>
        </x:is>
      </x:c>
      <x:c r="E16" s="3" t="inlineStr">
        <x:is>
          <x:t xml:space="preserve">Phase III</x:t>
        </x:is>
      </x:c>
      <x:c r="F16" s="3" t="inlineStr">
        <x:is>
          <x:t xml:space="preserve">PD-1 plus LAG-3 immuno-oncology combination</x:t>
        </x:is>
      </x:c>
      <x:c r="G16" s="9" t="inlineStr">
        <x:is>
          <x:t xml:space="preserve">NCT06561386</x:t>
        </x:is>
      </x:c>
      <x:c r="H16" s="9" t="inlineStr">
        <x:is>
          <x:t xml:space="preserve">RELATIVITY-1093</x:t>
        </x:is>
      </x:c>
      <x:c r="I16" s="3" t="inlineStr">
        <x:is>
          <x:t xml:space="preserve">Stage IV/recurrent nonsquamous NSCLC, PD-L1 &gt;=1%</x:t>
        </x:is>
      </x:c>
      <x:c r="J16" s="9" t="inlineStr">
        <x:is>
          <x:t xml:space="preserve">First-line; nivolumab-relatlimab fixed dose plus chemotherapy</x:t>
        </x:is>
      </x:c>
      <x:c r="K16" s="64" t="n">
        <x:v>47694</x:v>
      </x:c>
      <x:c r="L16" s="3" t="n">
        <x:f>YEAR(K16)</x:f>
        <x:v>2030</x:v>
      </x:c>
      <x:c r="M16" s="65" t="n">
        <x:v>1</x:v>
      </x:c>
      <x:c r="N16" s="65" t="n">
        <x:v>2</x:v>
      </x:c>
      <x:c r="O16" s="3" t="n">
        <x:f>IF(OR(L16="",M16=""),"",L16+M16)</x:f>
        <x:v>2031</x:v>
      </x:c>
      <x:c r="P16" s="3" t="n">
        <x:f>IF(OR(L16="",N16=""),"",L16+N16)</x:f>
        <x:v>2032</x:v>
      </x:c>
      <x:c r="Q16" s="3" t="str">
        <x:f>IF(O16="","Not estimated",TEXT(O16,"0")&amp;"-"&amp;TEXT(P16,"0"))</x:f>
        <x:v>2031-2032</x:v>
      </x:c>
      <x:c r="R16" s="66" t="inlineStr">
        <x:is>
          <x:t xml:space="preserve">Not launched - no historical sales</x:t>
        </x:is>
      </x:c>
      <x:c r="S16" s="3" t="inlineStr">
        <x:is>
          <x:t xml:space="preserve">NSCLC_TAGRISSO_2025; NSCLC_OPDIVO_2025</x:t>
        </x:is>
      </x:c>
      <x:c r="T16" s="9" t="inlineStr">
        <x:is>
          <x:t xml:space="preserve">https://clinicaltrials.gov/study/NCT06561386</x:t>
        </x:is>
      </x:c>
      <x:c r="U16" s="9" t="inlineStr">
        <x:is>
          <x:t xml:space="preserve">https://annual-report.bms.com/assets/bms-ar/documents/2025/2025-bms-development-portfolio.pdf</x:t>
        </x:is>
      </x:c>
      <x:c r="V16" s="3" t="inlineStr">
        <x:is>
          <x:t xml:space="preserve">Potential label expansion of an approved combination; counted here as an investigational program in the matched snapshot.</x:t>
        </x:is>
      </x:c>
    </x:row>
    <x:row r="17">
      <x:c r="A17" s="3" t="inlineStr">
        <x:is>
          <x:t xml:space="preserve">Solid-tumor oncology</x:t>
        </x:is>
      </x:c>
      <x:c r="B17" s="3" t="inlineStr">
        <x:is>
          <x:t xml:space="preserve">NSCLC</x:t>
        </x:is>
      </x:c>
      <x:c r="C17" s="67" t="inlineStr">
        <x:is>
          <x:t xml:space="preserve">Bristol Myers Squibb</x:t>
        </x:is>
      </x:c>
      <x:c r="D17" s="3" t="inlineStr">
        <x:is>
          <x:t xml:space="preserve">pumitamig</x:t>
        </x:is>
      </x:c>
      <x:c r="E17" s="3" t="inlineStr">
        <x:is>
          <x:t xml:space="preserve">Phase III</x:t>
        </x:is>
      </x:c>
      <x:c r="F17" s="3" t="inlineStr">
        <x:is>
          <x:t xml:space="preserve">PD-L1 x VEGF-A bispecific antibody</x:t>
        </x:is>
      </x:c>
      <x:c r="G17" s="9" t="inlineStr">
        <x:is>
          <x:t xml:space="preserve">NCT07361510</x:t>
        </x:is>
      </x:c>
      <x:c r="H17" s="9" t="inlineStr">
        <x:is>
          <x:t xml:space="preserve">ROSETTA Lung-202</x:t>
        </x:is>
      </x:c>
      <x:c r="I17" s="3" t="inlineStr">
        <x:is>
          <x:t xml:space="preserve">Advanced NSCLC, PD-L1 &gt;=50%</x:t>
        </x:is>
      </x:c>
      <x:c r="J17" s="9" t="inlineStr">
        <x:is>
          <x:t xml:space="preserve">First-line monotherapy versus pembrolizumab</x:t>
        </x:is>
      </x:c>
      <x:c r="K17" s="64" t="n">
        <x:v>48135</x:v>
      </x:c>
      <x:c r="L17" s="3" t="n">
        <x:f>YEAR(K17)</x:f>
        <x:v>2031</x:v>
      </x:c>
      <x:c r="M17" s="65" t="n">
        <x:v>1</x:v>
      </x:c>
      <x:c r="N17" s="65" t="n">
        <x:v>2</x:v>
      </x:c>
      <x:c r="O17" s="3" t="n">
        <x:f>IF(OR(L17="",M17=""),"",L17+M17)</x:f>
        <x:v>2032</x:v>
      </x:c>
      <x:c r="P17" s="3" t="n">
        <x:f>IF(OR(L17="",N17=""),"",L17+N17)</x:f>
        <x:v>2033</x:v>
      </x:c>
      <x:c r="Q17" s="3" t="str">
        <x:f>IF(O17="","Not estimated",TEXT(O17,"0")&amp;"-"&amp;TEXT(P17,"0"))</x:f>
        <x:v>2032-2033</x:v>
      </x:c>
      <x:c r="R17" s="66" t="inlineStr">
        <x:is>
          <x:t xml:space="preserve">Not launched - no historical sales</x:t>
        </x:is>
      </x:c>
      <x:c r="S17" s="3" t="inlineStr">
        <x:is>
          <x:t xml:space="preserve">NSCLC_TAGRISSO_2025; NSCLC_OPDIVO_2025</x:t>
        </x:is>
      </x:c>
      <x:c r="T17" s="9" t="inlineStr">
        <x:is>
          <x:t xml:space="preserve">https://clinicaltrials.gov/study/NCT07361510</x:t>
        </x:is>
      </x:c>
      <x:c r="U17" s="9" t="inlineStr">
        <x:is>
          <x:t xml:space="preserve">https://annual-report.bms.com/assets/bms-ar/documents/2025/2025-bms-development-portfolio.pdf</x:t>
        </x:is>
      </x:c>
      <x:c r="V17" s="3" t="inlineStr">
        <x:is>
          <x:t xml:space="preserve">Representative Phase III study; later timing reflects the currently posted trial schedule.</x:t>
        </x:is>
      </x:c>
    </x:row>
    <x:row r="18">
      <x:c r="A18" s="3" t="inlineStr">
        <x:is>
          <x:t xml:space="preserve">Solid-tumor oncology</x:t>
        </x:is>
      </x:c>
      <x:c r="B18" s="3" t="inlineStr">
        <x:is>
          <x:t xml:space="preserve">Prostate cancer</x:t>
        </x:is>
      </x:c>
      <x:c r="C18" s="63" t="inlineStr">
        <x:is>
          <x:t xml:space="preserve">AstraZeneca</x:t>
        </x:is>
      </x:c>
      <x:c r="D18" s="3" t="inlineStr">
        <x:is>
          <x:t xml:space="preserve">FPI-2265</x:t>
        </x:is>
      </x:c>
      <x:c r="E18" s="3" t="inlineStr">
        <x:is>
          <x:t xml:space="preserve">Phase II</x:t>
        </x:is>
      </x:c>
      <x:c r="F18" s="3" t="inlineStr">
        <x:is>
          <x:t xml:space="preserve">PSMA-targeted actinium radioconjugate</x:t>
        </x:is>
      </x:c>
      <x:c r="G18" s="9" t="inlineStr">
        <x:is>
          <x:t xml:space="preserve">NCT06402331</x:t>
        </x:is>
      </x:c>
      <x:c r="H18" s="9" t="inlineStr">
        <x:is>
          <x:t xml:space="preserve">AlphaBreak</x:t>
        </x:is>
      </x:c>
      <x:c r="I18" s="3" t="inlineStr">
        <x:is>
          <x:t xml:space="preserve">PSMA-positive metastatic castration-resistant prostate cancer</x:t>
        </x:is>
      </x:c>
      <x:c r="J18" s="9" t="inlineStr">
        <x:is>
          <x:t xml:space="preserve">Post-lutetium PSMA radioligand therapy; dose optimization</x:t>
        </x:is>
      </x:c>
      <x:c r="K18" s="64" t="n">
        <x:v>46379</x:v>
      </x:c>
      <x:c r="L18" s="3" t="n">
        <x:f>YEAR(K18)</x:f>
        <x:v>2026</x:v>
      </x:c>
      <x:c r="M18" s="65" t="n">
        <x:v>3</x:v>
      </x:c>
      <x:c r="N18" s="65" t="n">
        <x:v>5</x:v>
      </x:c>
      <x:c r="O18" s="3" t="n">
        <x:f>IF(OR(L18="",M18=""),"",L18+M18)</x:f>
        <x:v>2029</x:v>
      </x:c>
      <x:c r="P18" s="3" t="n">
        <x:f>IF(OR(L18="",N18=""),"",L18+N18)</x:f>
        <x:v>2031</x:v>
      </x:c>
      <x:c r="Q18" s="3" t="str">
        <x:f>IF(O18="","Not estimated",TEXT(O18,"0")&amp;"-"&amp;TEXT(P18,"0"))</x:f>
        <x:v>2029-2031</x:v>
      </x:c>
      <x:c r="R18" s="66" t="inlineStr">
        <x:is>
          <x:t xml:space="preserve">Not launched - no historical sales</x:t>
        </x:is>
      </x:c>
      <x:c r="S18" s="3" t="inlineStr">
        <x:is>
          <x:t xml:space="preserve"/>
        </x:is>
      </x:c>
      <x:c r="T18" s="9" t="inlineStr">
        <x:is>
          <x:t xml:space="preserve">https://clinicaltrials.gov/study/NCT06402331</x:t>
        </x:is>
      </x:c>
      <x:c r="U18" s="9" t="inlineStr">
        <x:is>
          <x:t xml:space="preserve">https://www.astrazeneca.com/content/dam/az/Investor_Relations/annual-report-2025/pdf/AstraZeneca_Development_Pipeline_2025.pdf</x:t>
        </x:is>
      </x:c>
      <x:c r="V18" s="3" t="inlineStr">
        <x:is>
          <x:t xml:space="preserve">Phase II; additional combination work is underway.</x:t>
        </x:is>
      </x:c>
    </x:row>
    <x:row r="19">
      <x:c r="A19" s="3" t="inlineStr">
        <x:is>
          <x:t xml:space="preserve">Solid-tumor oncology</x:t>
        </x:is>
      </x:c>
      <x:c r="B19" s="3" t="inlineStr">
        <x:is>
          <x:t xml:space="preserve">Prostate cancer</x:t>
        </x:is>
      </x:c>
      <x:c r="C19" s="63" t="inlineStr">
        <x:is>
          <x:t xml:space="preserve">AstraZeneca</x:t>
        </x:is>
      </x:c>
      <x:c r="D19" s="3" t="inlineStr">
        <x:is>
          <x:t xml:space="preserve">saruparib</x:t>
        </x:is>
      </x:c>
      <x:c r="E19" s="3" t="inlineStr">
        <x:is>
          <x:t xml:space="preserve">Phase III</x:t>
        </x:is>
      </x:c>
      <x:c r="F19" s="3" t="inlineStr">
        <x:is>
          <x:t xml:space="preserve">PARP1 inhibitor</x:t>
        </x:is>
      </x:c>
      <x:c r="G19" s="9" t="inlineStr">
        <x:is>
          <x:t xml:space="preserve">NCT06120491</x:t>
        </x:is>
      </x:c>
      <x:c r="H19" s="9" t="inlineStr">
        <x:is>
          <x:t xml:space="preserve">EvoPAR-Prostate01</x:t>
        </x:is>
      </x:c>
      <x:c r="I19" s="3" t="inlineStr">
        <x:is>
          <x:t xml:space="preserve">Metastatic castration-sensitive prostate cancer</x:t>
        </x:is>
      </x:c>
      <x:c r="J19" s="9" t="inlineStr">
        <x:is>
          <x:t xml:space="preserve">First-line metastatic setting; with physician-choice new hormonal agent</x:t>
        </x:is>
      </x:c>
      <x:c r="K19" s="64" t="n">
        <x:v>46660</x:v>
      </x:c>
      <x:c r="L19" s="3" t="n">
        <x:f>YEAR(K19)</x:f>
        <x:v>2027</x:v>
      </x:c>
      <x:c r="M19" s="65" t="n">
        <x:v>1</x:v>
      </x:c>
      <x:c r="N19" s="65" t="n">
        <x:v>2</x:v>
      </x:c>
      <x:c r="O19" s="3" t="n">
        <x:f>IF(OR(L19="",M19=""),"",L19+M19)</x:f>
        <x:v>2028</x:v>
      </x:c>
      <x:c r="P19" s="3" t="n">
        <x:f>IF(OR(L19="",N19=""),"",L19+N19)</x:f>
        <x:v>2029</x:v>
      </x:c>
      <x:c r="Q19" s="3" t="str">
        <x:f>IF(O19="","Not estimated",TEXT(O19,"0")&amp;"-"&amp;TEXT(P19,"0"))</x:f>
        <x:v>2028-2029</x:v>
      </x:c>
      <x:c r="R19" s="66" t="inlineStr">
        <x:is>
          <x:t xml:space="preserve">Not launched - no historical sales</x:t>
        </x:is>
      </x:c>
      <x:c r="S19" s="3" t="inlineStr">
        <x:is>
          <x:t xml:space="preserve"/>
        </x:is>
      </x:c>
      <x:c r="T19" s="9" t="inlineStr">
        <x:is>
          <x:t xml:space="preserve">https://clinicaltrials.gov/study/NCT06120491</x:t>
        </x:is>
      </x:c>
      <x:c r="U19" s="9" t="inlineStr">
        <x:is>
          <x:t xml:space="preserve">https://www.astrazeneca.com/content/dam/az/Investor_Relations/annual-report-2025/pdf/AstraZeneca_Development_Pipeline_2025.pdf</x:t>
        </x:is>
      </x:c>
      <x:c r="V19" s="3" t="inlineStr">
        <x:is>
          <x:t xml:space="preserve">Representative Phase III prostate study.</x:t>
        </x:is>
      </x:c>
    </x:row>
    <x:row r="20">
      <x:c r="A20" s="3" t="inlineStr">
        <x:is>
          <x:t xml:space="preserve">Solid-tumor oncology</x:t>
        </x:is>
      </x:c>
      <x:c r="B20" s="3" t="inlineStr">
        <x:is>
          <x:t xml:space="preserve">Prostate cancer</x:t>
        </x:is>
      </x:c>
      <x:c r="C20" s="67" t="inlineStr">
        <x:is>
          <x:t xml:space="preserve">Bristol Myers Squibb</x:t>
        </x:is>
      </x:c>
      <x:c r="D20" s="3" t="inlineStr">
        <x:is>
          <x:t xml:space="preserve">AR ligand-directed degrader</x:t>
        </x:is>
      </x:c>
      <x:c r="E20" s="3" t="inlineStr">
        <x:is>
          <x:t xml:space="preserve">Phase III</x:t>
        </x:is>
      </x:c>
      <x:c r="F20" s="3" t="inlineStr">
        <x:is>
          <x:t xml:space="preserve">Androgen receptor ligand-directed degrader</x:t>
        </x:is>
      </x:c>
      <x:c r="G20" s="9" t="inlineStr">
        <x:is>
          <x:t xml:space="preserve">NCT06764485</x:t>
        </x:is>
      </x:c>
      <x:c r="H20" s="9" t="inlineStr">
        <x:is>
          <x:t xml:space="preserve">rechARge</x:t>
        </x:is>
      </x:c>
      <x:c r="I20" s="3" t="inlineStr">
        <x:is>
          <x:t xml:space="preserve">Metastatic castration-resistant prostate cancer</x:t>
        </x:is>
      </x:c>
      <x:c r="J20" s="9" t="inlineStr">
        <x:is>
          <x:t xml:space="preserve">After prior androgen-receptor pathway inhibitor; versus docetaxel or second ARPI</x:t>
        </x:is>
      </x:c>
      <x:c r="K20" s="64" t="n">
        <x:v>46642</x:v>
      </x:c>
      <x:c r="L20" s="3" t="n">
        <x:f>YEAR(K20)</x:f>
        <x:v>2027</x:v>
      </x:c>
      <x:c r="M20" s="65" t="n">
        <x:v>1</x:v>
      </x:c>
      <x:c r="N20" s="65" t="n">
        <x:v>2</x:v>
      </x:c>
      <x:c r="O20" s="3" t="n">
        <x:f>IF(OR(L20="",M20=""),"",L20+M20)</x:f>
        <x:v>2028</x:v>
      </x:c>
      <x:c r="P20" s="3" t="n">
        <x:f>IF(OR(L20="",N20=""),"",L20+N20)</x:f>
        <x:v>2029</x:v>
      </x:c>
      <x:c r="Q20" s="3" t="str">
        <x:f>IF(O20="","Not estimated",TEXT(O20,"0")&amp;"-"&amp;TEXT(P20,"0"))</x:f>
        <x:v>2028-2029</x:v>
      </x:c>
      <x:c r="R20" s="66" t="inlineStr">
        <x:is>
          <x:t xml:space="preserve">Not launched - no historical sales</x:t>
        </x:is>
      </x:c>
      <x:c r="S20" s="3" t="inlineStr">
        <x:is>
          <x:t xml:space="preserve"/>
        </x:is>
      </x:c>
      <x:c r="T20" s="9" t="inlineStr">
        <x:is>
          <x:t xml:space="preserve">https://clinicaltrials.gov/study/NCT06764485</x:t>
        </x:is>
      </x:c>
      <x:c r="U20" s="9" t="inlineStr">
        <x:is>
          <x:t xml:space="preserve">https://annual-report.bms.com/assets/bms-ar/documents/2025/2025-bms-development-portfolio.pdf</x:t>
        </x:is>
      </x:c>
      <x:c r="V20" s="3" t="inlineStr">
        <x:is>
          <x:t xml:space="preserve">Program is also known as BMS-986365.</x:t>
        </x:is>
      </x:c>
    </x:row>
  </x:sheetData>
  <x:pageMargins left="0.7" right="0.7" top="0.75" bottom="0.75" header="0.3" footer="0.3"/>
  <x:tableParts count="1">
    <x:tablePart xmlns:r="http://schemas.openxmlformats.org/officeDocument/2006/relationships" r:id="R9e6877db21db4c28"/>
  </x:tableParts>
</x:worksheet>
</file>

<file path=xl/worksheets/sheet15.xml><?xml version="1.0" encoding="utf-8"?>
<x:worksheet xmlns:x="http://schemas.openxmlformats.org/spreadsheetml/2006/main">
  <x:sheetViews>
    <x:sheetView showGridLines="0" workbookViewId="0"/>
  </x:sheetViews>
  <x:sheetFormatPr baseColWidth="8" defaultRowHeight="15"/>
  <x:cols>
    <x:col min="1" max="1" width="28" customWidth="1"/>
    <x:col min="2" max="2" width="24" customWidth="1"/>
    <x:col min="3" max="3" width="20" customWidth="1"/>
    <x:col min="4" max="4" width="20" customWidth="1"/>
    <x:col min="5" max="5" width="22" customWidth="1"/>
    <x:col min="6" max="6" width="10" customWidth="1"/>
    <x:col min="7" max="7" width="18" customWidth="1"/>
    <x:col min="8" max="8" width="24" customWidth="1"/>
    <x:col min="9" max="9" width="18" customWidth="1"/>
    <x:col min="10" max="10" width="22" customWidth="1"/>
    <x:col min="11" max="11" width="22" customWidth="1"/>
    <x:col min="12" max="12" width="32" customWidth="1"/>
    <x:col min="13" max="13" width="42" customWidth="1"/>
    <x:col min="14" max="14" width="48" customWidth="1"/>
    <x:col min="15" max="15" width="52" customWidth="1"/>
  </x:cols>
  <x:sheetData>
    <x:row r="1" ht="44" customHeight="1">
      <x:c r="A1" s="62" t="inlineStr">
        <x:is>
          <x:t xml:space="preserve">Benchmark ID</x:t>
        </x:is>
      </x:c>
      <x:c r="B1" s="62" t="inlineStr">
        <x:is>
          <x:t xml:space="preserve">Disease area</x:t>
        </x:is>
      </x:c>
      <x:c r="C1" s="62" t="inlineStr">
        <x:is>
          <x:t xml:space="preserve">Overlap indication</x:t>
        </x:is>
      </x:c>
      <x:c r="D1" s="62" t="inlineStr">
        <x:is>
          <x:t xml:space="preserve">Product</x:t>
        </x:is>
      </x:c>
      <x:c r="E1" s="62" t="inlineStr">
        <x:is>
          <x:t xml:space="preserve">Company</x:t>
        </x:is>
      </x:c>
      <x:c r="F1" s="62" t="inlineStr">
        <x:is>
          <x:t xml:space="preserve">Year</x:t>
        </x:is>
      </x:c>
      <x:c r="G1" s="62" t="inlineStr">
        <x:is>
          <x:t xml:space="preserve">US revenue ($m)</x:t>
        </x:is>
      </x:c>
      <x:c r="H1" s="62" t="inlineStr">
        <x:is>
          <x:t xml:space="preserve">Emerging Markets revenue ($m)</x:t>
        </x:is>
      </x:c>
      <x:c r="I1" s="62" t="inlineStr">
        <x:is>
          <x:t xml:space="preserve">Europe revenue ($m)</x:t>
        </x:is>
      </x:c>
      <x:c r="J1" s="62" t="inlineStr">
        <x:is>
          <x:t xml:space="preserve">Established ROW revenue ($m)</x:t>
        </x:is>
      </x:c>
      <x:c r="K1" s="62" t="inlineStr">
        <x:is>
          <x:t xml:space="preserve">Worldwide revenue ($m)</x:t>
        </x:is>
      </x:c>
      <x:c r="L1" s="62" t="inlineStr">
        <x:is>
          <x:t xml:space="preserve">Sales basis</x:t>
        </x:is>
      </x:c>
      <x:c r="M1" s="62" t="inlineStr">
        <x:is>
          <x:t xml:space="preserve">Relevance</x:t>
        </x:is>
      </x:c>
      <x:c r="N1" s="62" t="inlineStr">
        <x:is>
          <x:t xml:space="preserve">Limitations</x:t>
        </x:is>
      </x:c>
      <x:c r="O1" s="62" t="inlineStr">
        <x:is>
          <x:t xml:space="preserve">Source URL</x:t>
        </x:is>
      </x:c>
    </x:row>
    <x:row r="2">
      <x:c r="A2" s="3" t="inlineStr">
        <x:is>
          <x:t xml:space="preserve">NSCLC_TAGRISSO_2025</x:t>
        </x:is>
      </x:c>
      <x:c r="B2" s="3" t="inlineStr">
        <x:is>
          <x:t xml:space="preserve">Solid-tumor oncology</x:t>
        </x:is>
      </x:c>
      <x:c r="C2" s="3" t="inlineStr">
        <x:is>
          <x:t xml:space="preserve">NSCLC</x:t>
        </x:is>
      </x:c>
      <x:c r="D2" s="3" t="inlineStr">
        <x:is>
          <x:t xml:space="preserve">Tagrisso</x:t>
        </x:is>
      </x:c>
      <x:c r="E2" s="63" t="inlineStr">
        <x:is>
          <x:t xml:space="preserve">AstraZeneca</x:t>
        </x:is>
      </x:c>
      <x:c r="F2" s="3" t="n">
        <x:v>2025</x:v>
      </x:c>
      <x:c r="G2" s="68" t="n">
        <x:v>3064</x:v>
      </x:c>
      <x:c r="H2" s="68" t="n">
        <x:v>1971</x:v>
      </x:c>
      <x:c r="I2" s="68" t="n">
        <x:v>1423</x:v>
      </x:c>
      <x:c r="J2" s="68" t="n">
        <x:v>796</x:v>
      </x:c>
      <x:c r="K2" s="68" t="n">
        <x:f>SUM(G2:J2)</x:f>
        <x:v>7254</x:v>
      </x:c>
      <x:c r="L2" s="3" t="inlineStr">
        <x:is>
          <x:t xml:space="preserve">2025 product sales; calculated from company-reported regions</x:t>
        </x:is>
      </x:c>
      <x:c r="M2" s="3" t="inlineStr">
        <x:is>
          <x:t xml:space="preserve">Commercial scale benchmark for a leading NSCLC franchise.</x:t>
        </x:is>
      </x:c>
      <x:c r="N2" s="3" t="inlineStr">
        <x:is>
          <x:t xml:space="preserve">Worldwide brand revenue across approved indications; not a forecast and not specific to the overlapping programs.</x:t>
        </x:is>
      </x:c>
      <x:c r="O2" s="9" t="inlineStr">
        <x:is>
          <x:t xml:space="preserve">https://www.sec.gov/Archives/edgar/data/901832/000110465926019130/azn-20251231x20f.htm</x:t>
        </x:is>
      </x:c>
    </x:row>
    <x:row r="3">
      <x:c r="A3" s="3" t="inlineStr">
        <x:is>
          <x:t xml:space="preserve">NSCLC_OPDIVO_2025</x:t>
        </x:is>
      </x:c>
      <x:c r="B3" s="3" t="inlineStr">
        <x:is>
          <x:t xml:space="preserve">Solid-tumor oncology</x:t>
        </x:is>
      </x:c>
      <x:c r="C3" s="3" t="inlineStr">
        <x:is>
          <x:t xml:space="preserve">NSCLC</x:t>
        </x:is>
      </x:c>
      <x:c r="D3" s="3" t="inlineStr">
        <x:is>
          <x:t xml:space="preserve">Opdivo</x:t>
        </x:is>
      </x:c>
      <x:c r="E3" s="67" t="inlineStr">
        <x:is>
          <x:t xml:space="preserve">Bristol Myers Squibb</x:t>
        </x:is>
      </x:c>
      <x:c r="F3" s="3" t="n">
        <x:v>2025</x:v>
      </x:c>
      <x:c r="G3" s="68" t="n"/>
      <x:c r="H3" s="68" t="n"/>
      <x:c r="I3" s="68" t="n"/>
      <x:c r="J3" s="68" t="n"/>
      <x:c r="K3" s="68" t="n">
        <x:v>10000</x:v>
      </x:c>
      <x:c r="L3" s="3" t="inlineStr">
        <x:is>
          <x:t xml:space="preserve">2025 worldwide revenue</x:t>
        </x:is>
      </x:c>
      <x:c r="M3" s="3" t="inlineStr">
        <x:is>
          <x:t xml:space="preserve">Commercial scale benchmark for BMS immuno-oncology.</x:t>
        </x:is>
      </x:c>
      <x:c r="N3" s="3" t="inlineStr">
        <x:is>
          <x:t xml:space="preserve">All approved indications, not NSCLC-specific; used as a scale benchmark rather than a direct analogue.</x:t>
        </x:is>
      </x:c>
      <x:c r="O3" s="9" t="inlineStr">
        <x:is>
          <x:t xml:space="preserve">https://www.bms.com/investors/financial-reporting/key-facts.html</x:t>
        </x:is>
      </x:c>
    </x:row>
    <x:row r="4">
      <x:c r="A4" s="3" t="inlineStr">
        <x:is>
          <x:t xml:space="preserve">MM_REVLIMID_2021</x:t>
        </x:is>
      </x:c>
      <x:c r="B4" s="3" t="inlineStr">
        <x:is>
          <x:t xml:space="preserve">Hematology</x:t>
        </x:is>
      </x:c>
      <x:c r="C4" s="3" t="inlineStr">
        <x:is>
          <x:t xml:space="preserve">Multiple myeloma</x:t>
        </x:is>
      </x:c>
      <x:c r="D4" s="3" t="inlineStr">
        <x:is>
          <x:t xml:space="preserve">Revlimid</x:t>
        </x:is>
      </x:c>
      <x:c r="E4" s="67" t="inlineStr">
        <x:is>
          <x:t xml:space="preserve">Bristol Myers Squibb</x:t>
        </x:is>
      </x:c>
      <x:c r="F4" s="3" t="n">
        <x:v>2021</x:v>
      </x:c>
      <x:c r="G4" s="68" t="n"/>
      <x:c r="H4" s="68" t="n"/>
      <x:c r="I4" s="68" t="n"/>
      <x:c r="J4" s="68" t="n"/>
      <x:c r="K4" s="68" t="n">
        <x:v>12821</x:v>
      </x:c>
      <x:c r="L4" s="3" t="inlineStr">
        <x:is>
          <x:t xml:space="preserve">2021 worldwide revenue; historical high-water benchmark</x:t>
        </x:is>
      </x:c>
      <x:c r="M4" s="3" t="inlineStr">
        <x:is>
          <x:t xml:space="preserve">Illustrates the historic commercial scale of the multiple-myeloma franchise.</x:t>
        </x:is>
      </x:c>
      <x:c r="N4" s="3" t="inlineStr">
        <x:is>
          <x:t xml:space="preserve">Brand revenue across indications; historical revenue does not predict future asset sales.</x:t>
        </x:is>
      </x:c>
      <x:c r="O4" s="9" t="inlineStr">
        <x:is>
          <x:t xml:space="preserve">https://news.bms.com/news/details/2022/Bristol-Myers-Squibb-Reports-Fourth-Quarter-and-Full-Year-Financial-Results-for-2021/default.aspx</x:t>
        </x:is>
      </x:c>
    </x:row>
    <x:row r="5">
      <x:c r="A5" s="3" t="inlineStr">
        <x:is>
          <x:t xml:space="preserve">MM_POMALYST_2021</x:t>
        </x:is>
      </x:c>
      <x:c r="B5" s="3" t="inlineStr">
        <x:is>
          <x:t xml:space="preserve">Hematology</x:t>
        </x:is>
      </x:c>
      <x:c r="C5" s="3" t="inlineStr">
        <x:is>
          <x:t xml:space="preserve">Multiple myeloma</x:t>
        </x:is>
      </x:c>
      <x:c r="D5" s="3" t="inlineStr">
        <x:is>
          <x:t xml:space="preserve">Pomalyst / Imnovid</x:t>
        </x:is>
      </x:c>
      <x:c r="E5" s="67" t="inlineStr">
        <x:is>
          <x:t xml:space="preserve">Bristol Myers Squibb</x:t>
        </x:is>
      </x:c>
      <x:c r="F5" s="3" t="n">
        <x:v>2021</x:v>
      </x:c>
      <x:c r="G5" s="68" t="n"/>
      <x:c r="H5" s="68" t="n"/>
      <x:c r="I5" s="68" t="n"/>
      <x:c r="J5" s="68" t="n"/>
      <x:c r="K5" s="68" t="n">
        <x:v>3332</x:v>
      </x:c>
      <x:c r="L5" s="3" t="inlineStr">
        <x:is>
          <x:t xml:space="preserve">2021 worldwide revenue</x:t>
        </x:is>
      </x:c>
      <x:c r="M5" s="3" t="inlineStr">
        <x:is>
          <x:t xml:space="preserve">Additional multiple-myeloma commercial benchmark.</x:t>
        </x:is>
      </x:c>
      <x:c r="N5" s="3" t="inlineStr">
        <x:is>
          <x:t xml:space="preserve">Brand revenue across indications; not a forecast.</x:t>
        </x:is>
      </x:c>
      <x:c r="O5" s="9" t="inlineStr">
        <x:is>
          <x:t xml:space="preserve">https://news.bms.com/news/details/2022/Bristol-Myers-Squibb-Reports-Fourth-Quarter-and-Full-Year-Financial-Results-for-2021/default.aspx</x:t>
        </x:is>
      </x:c>
    </x:row>
    <x:row r="6">
      <x:c r="A6" s="3" t="inlineStr">
        <x:is>
          <x:t xml:space="preserve">LYMPHOMA_BREYANZI_2025</x:t>
        </x:is>
      </x:c>
      <x:c r="B6" s="3" t="inlineStr">
        <x:is>
          <x:t xml:space="preserve">Hematology</x:t>
        </x:is>
      </x:c>
      <x:c r="C6" s="3" t="inlineStr">
        <x:is>
          <x:t xml:space="preserve">B-cell lymphoma</x:t>
        </x:is>
      </x:c>
      <x:c r="D6" s="3" t="inlineStr">
        <x:is>
          <x:t xml:space="preserve">Breyanzi</x:t>
        </x:is>
      </x:c>
      <x:c r="E6" s="67" t="inlineStr">
        <x:is>
          <x:t xml:space="preserve">Bristol Myers Squibb</x:t>
        </x:is>
      </x:c>
      <x:c r="F6" s="3" t="n">
        <x:v>2025</x:v>
      </x:c>
      <x:c r="G6" s="68" t="n"/>
      <x:c r="H6" s="68" t="n"/>
      <x:c r="I6" s="68" t="n"/>
      <x:c r="J6" s="68" t="n"/>
      <x:c r="K6" s="68" t="n">
        <x:v>1400</x:v>
      </x:c>
      <x:c r="L6" s="3" t="inlineStr">
        <x:is>
          <x:t xml:space="preserve">2025 worldwide revenue</x:t>
        </x:is>
      </x:c>
      <x:c r="M6" s="3" t="inlineStr">
        <x:is>
          <x:t xml:space="preserve">Commercial benchmark for an established B-cell lymphoma cell-therapy franchise.</x:t>
        </x:is>
      </x:c>
      <x:c r="N6" s="3" t="inlineStr">
        <x:is>
          <x:t xml:space="preserve">All approved indications; not a direct modality match for every program.</x:t>
        </x:is>
      </x:c>
      <x:c r="O6" s="9" t="inlineStr">
        <x:is>
          <x:t xml:space="preserve">https://www.bms.com/investors/financial-reporting/key-facts.html</x:t>
        </x:is>
      </x:c>
    </x:row>
    <x:row r="7">
      <x:c r="A7" s="3" t="inlineStr">
        <x:is>
          <x:t xml:space="preserve">HF_CAMZYOS_2025</x:t>
        </x:is>
      </x:c>
      <x:c r="B7" s="3" t="inlineStr">
        <x:is>
          <x:t xml:space="preserve">Cardiovascular</x:t>
        </x:is>
      </x:c>
      <x:c r="C7" s="3" t="inlineStr">
        <x:is>
          <x:t xml:space="preserve">Heart failure</x:t>
        </x:is>
      </x:c>
      <x:c r="D7" s="3" t="inlineStr">
        <x:is>
          <x:t xml:space="preserve">Camzyos</x:t>
        </x:is>
      </x:c>
      <x:c r="E7" s="67" t="inlineStr">
        <x:is>
          <x:t xml:space="preserve">Bristol Myers Squibb</x:t>
        </x:is>
      </x:c>
      <x:c r="F7" s="3" t="n">
        <x:v>2025</x:v>
      </x:c>
      <x:c r="G7" s="68" t="n"/>
      <x:c r="H7" s="68" t="n"/>
      <x:c r="I7" s="68" t="n"/>
      <x:c r="J7" s="68" t="n"/>
      <x:c r="K7" s="68" t="n">
        <x:v>1100</x:v>
      </x:c>
      <x:c r="L7" s="3" t="inlineStr">
        <x:is>
          <x:t xml:space="preserve">2025 worldwide revenue</x:t>
        </x:is>
      </x:c>
      <x:c r="M7" s="3" t="inlineStr">
        <x:is>
          <x:t xml:space="preserve">Commercial benchmark for a cardiac-myosin franchise.</x:t>
        </x:is>
      </x:c>
      <x:c r="N7" s="3" t="inlineStr">
        <x:is>
          <x:t xml:space="preserve">Approved for obstructive hypertrophic cardiomyopathy, not HFpEF; included only as modality/franchise context.</x:t>
        </x:is>
      </x:c>
      <x:c r="O7" s="9" t="inlineStr">
        <x:is>
          <x:t xml:space="preserve">https://www.bms.com/investors/financial-reporting/key-facts.html</x:t>
        </x:is>
      </x:c>
    </x:row>
  </x:sheetData>
  <x:pageMargins left="0.7" right="0.7" top="0.75" bottom="0.75" header="0.3" footer="0.3"/>
  <x:tableParts count="1">
    <x:tablePart xmlns:r="http://schemas.openxmlformats.org/officeDocument/2006/relationships" r:id="R5f3089fd5e10448e"/>
  </x:tableParts>
</x:worksheet>
</file>

<file path=xl/worksheets/sheet16.xml><?xml version="1.0" encoding="utf-8"?>
<x:worksheet xmlns:x="http://schemas.openxmlformats.org/spreadsheetml/2006/main">
  <x:sheetViews>
    <x:sheetView showGridLines="0" workbookViewId="0"/>
  </x:sheetViews>
  <x:sheetFormatPr baseColWidth="8" defaultRowHeight="15"/>
  <x:cols>
    <x:col min="1" max="1" width="42" customWidth="1"/>
    <x:col min="2" max="2" width="30" customWidth="1"/>
    <x:col min="3" max="3" width="24" customWidth="1"/>
    <x:col min="4" max="4" width="28" customWidth="1"/>
    <x:col min="5" max="5" width="16" customWidth="1"/>
    <x:col min="6" max="6" width="14" customWidth="1"/>
    <x:col min="7" max="7" width="14" customWidth="1"/>
    <x:col min="8" max="8" width="14" customWidth="1"/>
    <x:col min="9" max="9" width="22" customWidth="1"/>
    <x:col min="10" max="10" width="48" customWidth="1"/>
  </x:cols>
  <x:sheetData>
    <x:row r="1">
      <x:c r="A1" s="62" t="inlineStr">
        <x:is>
          <x:t xml:space="preserve">Cell ID</x:t>
        </x:is>
      </x:c>
      <x:c r="B1" s="62" t="inlineStr">
        <x:is>
          <x:t xml:space="preserve">Disease area</x:t>
        </x:is>
      </x:c>
      <x:c r="C1" s="62" t="inlineStr">
        <x:is>
          <x:t xml:space="preserve">Plot label</x:t>
        </x:is>
      </x:c>
      <x:c r="D1" s="62" t="inlineStr">
        <x:is>
          <x:t xml:space="preserve">Factor</x:t>
        </x:is>
      </x:c>
      <x:c r="E1" s="62" t="inlineStr">
        <x:is>
          <x:t xml:space="preserve">Overlap count</x:t>
        </x:is>
      </x:c>
      <x:c r="F1" s="62" t="inlineStr">
        <x:is>
          <x:t xml:space="preserve">Directness</x:t>
        </x:is>
      </x:c>
      <x:c r="G1" s="62" t="inlineStr">
        <x:is>
          <x:t xml:space="preserve">AZ programs</x:t>
        </x:is>
      </x:c>
      <x:c r="H1" s="62" t="inlineStr">
        <x:is>
          <x:t xml:space="preserve">BMS programs</x:t>
        </x:is>
      </x:c>
      <x:c r="I1" s="62" t="inlineStr">
        <x:is>
          <x:t xml:space="preserve">Relationship</x:t>
        </x:is>
      </x:c>
      <x:c r="J1" s="62" t="inlineStr">
        <x:is>
          <x:t xml:space="preserve">Overlap units</x:t>
        </x:is>
      </x:c>
    </x:row>
    <x:row r="2">
      <x:c r="A2" s="3" t="inlineStr">
        <x:is>
          <x:t xml:space="preserve">solid-tumor-oncology--shared-indications</x:t>
        </x:is>
      </x:c>
      <x:c r="B2" s="3" t="inlineStr">
        <x:is>
          <x:t xml:space="preserve">Solid-tumor oncology</x:t>
        </x:is>
      </x:c>
      <x:c r="C2" s="3" t="inlineStr">
        <x:is>
          <x:t xml:space="preserve">Solid tumors</x:t>
        </x:is>
      </x:c>
      <x:c r="D2" s="3" t="inlineStr">
        <x:is>
          <x:t xml:space="preserve">Shared indications</x:t>
        </x:is>
      </x:c>
      <x:c r="E2" s="66" t="n">
        <x:v>2</x:v>
      </x:c>
      <x:c r="F2" s="3" t="n">
        <x:v>3</x:v>
      </x:c>
      <x:c r="G2" s="3" t="n">
        <x:v>11</x:v>
      </x:c>
      <x:c r="H2" s="3" t="n">
        <x:v>7</x:v>
      </x:c>
      <x:c r="I2" s="3" t="inlineStr">
        <x:is>
          <x:t xml:space="preserve">Strong collision</x:t>
        </x:is>
      </x:c>
      <x:c r="J2" s="3" t="inlineStr">
        <x:is>
          <x:t xml:space="preserve">NSCLC; Prostate cancer</x:t>
        </x:is>
      </x:c>
    </x:row>
    <x:row r="3">
      <x:c r="A3" s="3" t="inlineStr">
        <x:is>
          <x:t xml:space="preserve">solid-tumor-oncology--shared-modalities</x:t>
        </x:is>
      </x:c>
      <x:c r="B3" s="3" t="inlineStr">
        <x:is>
          <x:t xml:space="preserve">Solid-tumor oncology</x:t>
        </x:is>
      </x:c>
      <x:c r="C3" s="3" t="inlineStr">
        <x:is>
          <x:t xml:space="preserve">Solid tumors</x:t>
        </x:is>
      </x:c>
      <x:c r="D3" s="3" t="inlineStr">
        <x:is>
          <x:t xml:space="preserve">Shared modalities</x:t>
        </x:is>
      </x:c>
      <x:c r="E3" s="66" t="n">
        <x:v>4</x:v>
      </x:c>
      <x:c r="F3" s="3" t="n">
        <x:v>3</x:v>
      </x:c>
      <x:c r="G3" s="3" t="n">
        <x:v>11</x:v>
      </x:c>
      <x:c r="H3" s="3" t="n">
        <x:v>7</x:v>
      </x:c>
      <x:c r="I3" s="3" t="inlineStr">
        <x:is>
          <x:t xml:space="preserve">Strong collision</x:t>
        </x:is>
      </x:c>
      <x:c r="J3" s="3" t="inlineStr">
        <x:is>
          <x:t xml:space="preserve">Small-molecule targeted therapy; Bispecific / dual-target biologics; Antibody-drug conjugates; Radiopharmaceuticals</x:t>
        </x:is>
      </x:c>
    </x:row>
    <x:row r="4">
      <x:c r="A4" s="3" t="inlineStr">
        <x:is>
          <x:t xml:space="preserve">solid-tumor-oncology--shared-target-mechanism</x:t>
        </x:is>
      </x:c>
      <x:c r="B4" s="3" t="inlineStr">
        <x:is>
          <x:t xml:space="preserve">Solid-tumor oncology</x:t>
        </x:is>
      </x:c>
      <x:c r="C4" s="3" t="inlineStr">
        <x:is>
          <x:t xml:space="preserve">Solid tumors</x:t>
        </x:is>
      </x:c>
      <x:c r="D4" s="3" t="inlineStr">
        <x:is>
          <x:t xml:space="preserve">Shared target / mechanism</x:t>
        </x:is>
      </x:c>
      <x:c r="E4" s="66" t="n">
        <x:v>2</x:v>
      </x:c>
      <x:c r="F4" s="3" t="n">
        <x:v>3</x:v>
      </x:c>
      <x:c r="G4" s="3" t="n">
        <x:v>11</x:v>
      </x:c>
      <x:c r="H4" s="3" t="n">
        <x:v>7</x:v>
      </x:c>
      <x:c r="I4" s="3" t="inlineStr">
        <x:is>
          <x:t xml:space="preserve">Strong collision</x:t>
        </x:is>
      </x:c>
      <x:c r="J4" s="3" t="inlineStr">
        <x:is>
          <x:t xml:space="preserve">PD-(L)1-based immuno-oncology; EGFR-directed therapeutics</x:t>
        </x:is>
      </x:c>
    </x:row>
    <x:row r="5">
      <x:c r="A5" s="3" t="inlineStr">
        <x:is>
          <x:t xml:space="preserve">solid-tumor-oncology--stage-alignment</x:t>
        </x:is>
      </x:c>
      <x:c r="B5" s="3" t="inlineStr">
        <x:is>
          <x:t xml:space="preserve">Solid-tumor oncology</x:t>
        </x:is>
      </x:c>
      <x:c r="C5" s="3" t="inlineStr">
        <x:is>
          <x:t xml:space="preserve">Solid tumors</x:t>
        </x:is>
      </x:c>
      <x:c r="D5" s="3" t="inlineStr">
        <x:is>
          <x:t xml:space="preserve">Stage alignment</x:t>
        </x:is>
      </x:c>
      <x:c r="E5" s="66" t="n">
        <x:v>2</x:v>
      </x:c>
      <x:c r="F5" s="3" t="n">
        <x:v>3</x:v>
      </x:c>
      <x:c r="G5" s="3" t="n">
        <x:v>11</x:v>
      </x:c>
      <x:c r="H5" s="3" t="n">
        <x:v>7</x:v>
      </x:c>
      <x:c r="I5" s="3" t="inlineStr">
        <x:is>
          <x:t xml:space="preserve">Strong collision</x:t>
        </x:is>
      </x:c>
      <x:c r="J5" s="3" t="inlineStr">
        <x:is>
          <x:t xml:space="preserve">Phase II; Phase III / registration</x:t>
        </x:is>
      </x:c>
    </x:row>
    <x:row r="6">
      <x:c r="A6" s="3" t="inlineStr">
        <x:is>
          <x:t xml:space="preserve">hematology--shared-indications</x:t>
        </x:is>
      </x:c>
      <x:c r="B6" s="3" t="inlineStr">
        <x:is>
          <x:t xml:space="preserve">Hematology</x:t>
        </x:is>
      </x:c>
      <x:c r="C6" s="3" t="inlineStr">
        <x:is>
          <x:t xml:space="preserve">Hematology</x:t>
        </x:is>
      </x:c>
      <x:c r="D6" s="3" t="inlineStr">
        <x:is>
          <x:t xml:space="preserve">Shared indications</x:t>
        </x:is>
      </x:c>
      <x:c r="E6" s="66" t="n">
        <x:v>2</x:v>
      </x:c>
      <x:c r="F6" s="3" t="n">
        <x:v>3</x:v>
      </x:c>
      <x:c r="G6" s="3" t="n">
        <x:v>4</x:v>
      </x:c>
      <x:c r="H6" s="3" t="n">
        <x:v>4</x:v>
      </x:c>
      <x:c r="I6" s="3" t="inlineStr">
        <x:is>
          <x:t xml:space="preserve">Strong collision</x:t>
        </x:is>
      </x:c>
      <x:c r="J6" s="3" t="inlineStr">
        <x:is>
          <x:t xml:space="preserve">Multiple myeloma; B-cell lymphoma</x:t>
        </x:is>
      </x:c>
    </x:row>
    <x:row r="7">
      <x:c r="A7" s="3" t="inlineStr">
        <x:is>
          <x:t xml:space="preserve">hematology--shared-modalities</x:t>
        </x:is>
      </x:c>
      <x:c r="B7" s="3" t="inlineStr">
        <x:is>
          <x:t xml:space="preserve">Hematology</x:t>
        </x:is>
      </x:c>
      <x:c r="C7" s="3" t="inlineStr">
        <x:is>
          <x:t xml:space="preserve">Hematology</x:t>
        </x:is>
      </x:c>
      <x:c r="D7" s="3" t="inlineStr">
        <x:is>
          <x:t xml:space="preserve">Shared modalities</x:t>
        </x:is>
      </x:c>
      <x:c r="E7" s="66" t="n">
        <x:v>2</x:v>
      </x:c>
      <x:c r="F7" s="3" t="n">
        <x:v>3</x:v>
      </x:c>
      <x:c r="G7" s="3" t="n">
        <x:v>4</x:v>
      </x:c>
      <x:c r="H7" s="3" t="n">
        <x:v>4</x:v>
      </x:c>
      <x:c r="I7" s="3" t="inlineStr">
        <x:is>
          <x:t xml:space="preserve">Strong collision</x:t>
        </x:is>
      </x:c>
      <x:c r="J7" s="3" t="inlineStr">
        <x:is>
          <x:t xml:space="preserve">Cell therapy / CAR-T; Small-molecule targeted therapy</x:t>
        </x:is>
      </x:c>
    </x:row>
    <x:row r="8">
      <x:c r="A8" s="3" t="inlineStr">
        <x:is>
          <x:t xml:space="preserve">hematology--shared-target-mechanism</x:t>
        </x:is>
      </x:c>
      <x:c r="B8" s="3" t="inlineStr">
        <x:is>
          <x:t xml:space="preserve">Hematology</x:t>
        </x:is>
      </x:c>
      <x:c r="C8" s="3" t="inlineStr">
        <x:is>
          <x:t xml:space="preserve">Hematology</x:t>
        </x:is>
      </x:c>
      <x:c r="D8" s="3" t="inlineStr">
        <x:is>
          <x:t xml:space="preserve">Shared target / mechanism</x:t>
        </x:is>
      </x:c>
      <x:c r="E8" s="66" t="n">
        <x:v>1</x:v>
      </x:c>
      <x:c r="F8" s="3" t="n">
        <x:v>3</x:v>
      </x:c>
      <x:c r="G8" s="3" t="n">
        <x:v>4</x:v>
      </x:c>
      <x:c r="H8" s="3" t="n">
        <x:v>4</x:v>
      </x:c>
      <x:c r="I8" s="3" t="inlineStr">
        <x:is>
          <x:t xml:space="preserve">Strong collision</x:t>
        </x:is>
      </x:c>
      <x:c r="J8" s="3" t="inlineStr">
        <x:is>
          <x:t xml:space="preserve">GPRC5D</x:t>
        </x:is>
      </x:c>
    </x:row>
    <x:row r="9">
      <x:c r="A9" s="3" t="inlineStr">
        <x:is>
          <x:t xml:space="preserve">hematology--stage-alignment</x:t>
        </x:is>
      </x:c>
      <x:c r="B9" s="3" t="inlineStr">
        <x:is>
          <x:t xml:space="preserve">Hematology</x:t>
        </x:is>
      </x:c>
      <x:c r="C9" s="3" t="inlineStr">
        <x:is>
          <x:t xml:space="preserve">Hematology</x:t>
        </x:is>
      </x:c>
      <x:c r="D9" s="3" t="inlineStr">
        <x:is>
          <x:t xml:space="preserve">Stage alignment</x:t>
        </x:is>
      </x:c>
      <x:c r="E9" s="66" t="n">
        <x:v>1</x:v>
      </x:c>
      <x:c r="F9" s="3" t="n">
        <x:v>2</x:v>
      </x:c>
      <x:c r="G9" s="3" t="n">
        <x:v>4</x:v>
      </x:c>
      <x:c r="H9" s="3" t="n">
        <x:v>4</x:v>
      </x:c>
      <x:c r="I9" s="3" t="inlineStr">
        <x:is>
          <x:t xml:space="preserve">Strong collision</x:t>
        </x:is>
      </x:c>
      <x:c r="J9" s="3" t="inlineStr">
        <x:is>
          <x:t xml:space="preserve">Phase III / registration</x:t>
        </x:is>
      </x:c>
    </x:row>
    <x:row r="10">
      <x:c r="A10" s="3" t="inlineStr">
        <x:is>
          <x:t xml:space="preserve">immunology-respiratory-and-fibrosis--shared-indications</x:t>
        </x:is>
      </x:c>
      <x:c r="B10" s="3" t="inlineStr">
        <x:is>
          <x:t xml:space="preserve">Immunology, respiratory &amp; fibrosis</x:t>
        </x:is>
      </x:c>
      <x:c r="C10" s="3" t="inlineStr">
        <x:is>
          <x:t xml:space="preserve">Immunology / resp. / fibrosis</x:t>
        </x:is>
      </x:c>
      <x:c r="D10" s="3" t="inlineStr">
        <x:is>
          <x:t xml:space="preserve">Shared indications</x:t>
        </x:is>
      </x:c>
      <x:c r="E10" s="3" t="n">
        <x:v>0</x:v>
      </x:c>
      <x:c r="F10" s="3" t="n">
        <x:v>0</x:v>
      </x:c>
      <x:c r="G10" s="3" t="n">
        <x:v>7</x:v>
      </x:c>
      <x:c r="H10" s="3" t="n">
        <x:v>3</x:v>
      </x:c>
      <x:c r="I10" s="3" t="inlineStr">
        <x:is>
          <x:t xml:space="preserve">Platform adjacency</x:t>
        </x:is>
      </x:c>
      <x:c r="J10" s="3" t="inlineStr">
        <x:is>
          <x:t xml:space="preserve"/>
        </x:is>
      </x:c>
    </x:row>
    <x:row r="11">
      <x:c r="A11" s="3" t="inlineStr">
        <x:is>
          <x:t xml:space="preserve">immunology-respiratory-and-fibrosis--shared-modalities</x:t>
        </x:is>
      </x:c>
      <x:c r="B11" s="3" t="inlineStr">
        <x:is>
          <x:t xml:space="preserve">Immunology, respiratory &amp; fibrosis</x:t>
        </x:is>
      </x:c>
      <x:c r="C11" s="3" t="inlineStr">
        <x:is>
          <x:t xml:space="preserve">Immunology / resp. / fibrosis</x:t>
        </x:is>
      </x:c>
      <x:c r="D11" s="3" t="inlineStr">
        <x:is>
          <x:t xml:space="preserve">Shared modalities</x:t>
        </x:is>
      </x:c>
      <x:c r="E11" s="66" t="n">
        <x:v>2</x:v>
      </x:c>
      <x:c r="F11" s="3" t="n">
        <x:v>1</x:v>
      </x:c>
      <x:c r="G11" s="3" t="n">
        <x:v>7</x:v>
      </x:c>
      <x:c r="H11" s="3" t="n">
        <x:v>3</x:v>
      </x:c>
      <x:c r="I11" s="3" t="inlineStr">
        <x:is>
          <x:t xml:space="preserve">Platform adjacency</x:t>
        </x:is>
      </x:c>
      <x:c r="J11" s="3" t="inlineStr">
        <x:is>
          <x:t xml:space="preserve">Small-molecule therapy; Monoclonal antibodies / biologics</x:t>
        </x:is>
      </x:c>
    </x:row>
    <x:row r="12">
      <x:c r="A12" s="3" t="inlineStr">
        <x:is>
          <x:t xml:space="preserve">immunology-respiratory-and-fibrosis--shared-target-mechanism</x:t>
        </x:is>
      </x:c>
      <x:c r="B12" s="3" t="inlineStr">
        <x:is>
          <x:t xml:space="preserve">Immunology, respiratory &amp; fibrosis</x:t>
        </x:is>
      </x:c>
      <x:c r="C12" s="3" t="inlineStr">
        <x:is>
          <x:t xml:space="preserve">Immunology / resp. / fibrosis</x:t>
        </x:is>
      </x:c>
      <x:c r="D12" s="3" t="inlineStr">
        <x:is>
          <x:t xml:space="preserve">Shared target / mechanism</x:t>
        </x:is>
      </x:c>
      <x:c r="E12" s="3" t="n">
        <x:v>0</x:v>
      </x:c>
      <x:c r="F12" s="3" t="n">
        <x:v>0</x:v>
      </x:c>
      <x:c r="G12" s="3" t="n">
        <x:v>7</x:v>
      </x:c>
      <x:c r="H12" s="3" t="n">
        <x:v>3</x:v>
      </x:c>
      <x:c r="I12" s="3" t="inlineStr">
        <x:is>
          <x:t xml:space="preserve">Platform adjacency</x:t>
        </x:is>
      </x:c>
      <x:c r="J12" s="3" t="inlineStr">
        <x:is>
          <x:t xml:space="preserve"/>
        </x:is>
      </x:c>
    </x:row>
    <x:row r="13">
      <x:c r="A13" s="3" t="inlineStr">
        <x:is>
          <x:t xml:space="preserve">immunology-respiratory-and-fibrosis--stage-alignment</x:t>
        </x:is>
      </x:c>
      <x:c r="B13" s="3" t="inlineStr">
        <x:is>
          <x:t xml:space="preserve">Immunology, respiratory &amp; fibrosis</x:t>
        </x:is>
      </x:c>
      <x:c r="C13" s="3" t="inlineStr">
        <x:is>
          <x:t xml:space="preserve">Immunology / resp. / fibrosis</x:t>
        </x:is>
      </x:c>
      <x:c r="D13" s="3" t="inlineStr">
        <x:is>
          <x:t xml:space="preserve">Stage alignment</x:t>
        </x:is>
      </x:c>
      <x:c r="E13" s="66" t="n">
        <x:v>1</x:v>
      </x:c>
      <x:c r="F13" s="3" t="n">
        <x:v>1</x:v>
      </x:c>
      <x:c r="G13" s="3" t="n">
        <x:v>7</x:v>
      </x:c>
      <x:c r="H13" s="3" t="n">
        <x:v>3</x:v>
      </x:c>
      <x:c r="I13" s="3" t="inlineStr">
        <x:is>
          <x:t xml:space="preserve">Platform adjacency</x:t>
        </x:is>
      </x:c>
      <x:c r="J13" s="3" t="inlineStr">
        <x:is>
          <x:t xml:space="preserve">Phase III / registration</x:t>
        </x:is>
      </x:c>
    </x:row>
    <x:row r="14">
      <x:c r="A14" s="3" t="inlineStr">
        <x:is>
          <x:t xml:space="preserve">cardiovascular--shared-indications</x:t>
        </x:is>
      </x:c>
      <x:c r="B14" s="3" t="inlineStr">
        <x:is>
          <x:t xml:space="preserve">Cardiovascular</x:t>
        </x:is>
      </x:c>
      <x:c r="C14" s="3" t="inlineStr">
        <x:is>
          <x:t xml:space="preserve">CV</x:t>
        </x:is>
      </x:c>
      <x:c r="D14" s="3" t="inlineStr">
        <x:is>
          <x:t xml:space="preserve">Shared indications</x:t>
        </x:is>
      </x:c>
      <x:c r="E14" s="66" t="n">
        <x:v>1</x:v>
      </x:c>
      <x:c r="F14" s="3" t="n">
        <x:v>2</x:v>
      </x:c>
      <x:c r="G14" s="3" t="n">
        <x:v>3</x:v>
      </x:c>
      <x:c r="H14" s="3" t="n">
        <x:v>2</x:v>
      </x:c>
      <x:c r="I14" s="3" t="inlineStr">
        <x:is>
          <x:t xml:space="preserve">Narrow adjacency</x:t>
        </x:is>
      </x:c>
      <x:c r="J14" s="3" t="inlineStr">
        <x:is>
          <x:t xml:space="preserve">Heart failure</x:t>
        </x:is>
      </x:c>
    </x:row>
    <x:row r="15">
      <x:c r="A15" s="3" t="inlineStr">
        <x:is>
          <x:t xml:space="preserve">cardiovascular--shared-modalities</x:t>
        </x:is>
      </x:c>
      <x:c r="B15" s="3" t="inlineStr">
        <x:is>
          <x:t xml:space="preserve">Cardiovascular</x:t>
        </x:is>
      </x:c>
      <x:c r="C15" s="3" t="inlineStr">
        <x:is>
          <x:t xml:space="preserve">CV</x:t>
        </x:is>
      </x:c>
      <x:c r="D15" s="3" t="inlineStr">
        <x:is>
          <x:t xml:space="preserve">Shared modalities</x:t>
        </x:is>
      </x:c>
      <x:c r="E15" s="66" t="n">
        <x:v>1</x:v>
      </x:c>
      <x:c r="F15" s="3" t="n">
        <x:v>1</x:v>
      </x:c>
      <x:c r="G15" s="3" t="n">
        <x:v>3</x:v>
      </x:c>
      <x:c r="H15" s="3" t="n">
        <x:v>2</x:v>
      </x:c>
      <x:c r="I15" s="3" t="inlineStr">
        <x:is>
          <x:t xml:space="preserve">Narrow adjacency</x:t>
        </x:is>
      </x:c>
      <x:c r="J15" s="3" t="inlineStr">
        <x:is>
          <x:t xml:space="preserve">Small-molecule therapy</x:t>
        </x:is>
      </x:c>
    </x:row>
    <x:row r="16">
      <x:c r="A16" s="3" t="inlineStr">
        <x:is>
          <x:t xml:space="preserve">cardiovascular--shared-target-mechanism</x:t>
        </x:is>
      </x:c>
      <x:c r="B16" s="3" t="inlineStr">
        <x:is>
          <x:t xml:space="preserve">Cardiovascular</x:t>
        </x:is>
      </x:c>
      <x:c r="C16" s="3" t="inlineStr">
        <x:is>
          <x:t xml:space="preserve">CV</x:t>
        </x:is>
      </x:c>
      <x:c r="D16" s="3" t="inlineStr">
        <x:is>
          <x:t xml:space="preserve">Shared target / mechanism</x:t>
        </x:is>
      </x:c>
      <x:c r="E16" s="3" t="n">
        <x:v>0</x:v>
      </x:c>
      <x:c r="F16" s="3" t="n">
        <x:v>0</x:v>
      </x:c>
      <x:c r="G16" s="3" t="n">
        <x:v>3</x:v>
      </x:c>
      <x:c r="H16" s="3" t="n">
        <x:v>2</x:v>
      </x:c>
      <x:c r="I16" s="3" t="inlineStr">
        <x:is>
          <x:t xml:space="preserve">Narrow adjacency</x:t>
        </x:is>
      </x:c>
      <x:c r="J16" s="3" t="inlineStr">
        <x:is>
          <x:t xml:space="preserve"/>
        </x:is>
      </x:c>
    </x:row>
    <x:row r="17">
      <x:c r="A17" s="3" t="inlineStr">
        <x:is>
          <x:t xml:space="preserve">cardiovascular--stage-alignment</x:t>
        </x:is>
      </x:c>
      <x:c r="B17" s="3" t="inlineStr">
        <x:is>
          <x:t xml:space="preserve">Cardiovascular</x:t>
        </x:is>
      </x:c>
      <x:c r="C17" s="3" t="inlineStr">
        <x:is>
          <x:t xml:space="preserve">CV</x:t>
        </x:is>
      </x:c>
      <x:c r="D17" s="3" t="inlineStr">
        <x:is>
          <x:t xml:space="preserve">Stage alignment</x:t>
        </x:is>
      </x:c>
      <x:c r="E17" s="66" t="n">
        <x:v>2</x:v>
      </x:c>
      <x:c r="F17" s="3" t="n">
        <x:v>2</x:v>
      </x:c>
      <x:c r="G17" s="3" t="n">
        <x:v>3</x:v>
      </x:c>
      <x:c r="H17" s="3" t="n">
        <x:v>2</x:v>
      </x:c>
      <x:c r="I17" s="3" t="inlineStr">
        <x:is>
          <x:t xml:space="preserve">Narrow adjacency</x:t>
        </x:is>
      </x:c>
      <x:c r="J17" s="3" t="inlineStr">
        <x:is>
          <x:t xml:space="preserve">Phase II; Phase III / registration</x:t>
        </x:is>
      </x:c>
    </x:row>
    <x:row r="18">
      <x:c r="A18" s="3" t="inlineStr">
        <x:is>
          <x:t xml:space="preserve">rare-disease--shared-indications</x:t>
        </x:is>
      </x:c>
      <x:c r="B18" s="3" t="inlineStr">
        <x:is>
          <x:t xml:space="preserve">Rare disease</x:t>
        </x:is>
      </x:c>
      <x:c r="C18" s="3" t="inlineStr">
        <x:is>
          <x:t xml:space="preserve">Rare disease</x:t>
        </x:is>
      </x:c>
      <x:c r="D18" s="3" t="inlineStr">
        <x:is>
          <x:t xml:space="preserve">Shared indications</x:t>
        </x:is>
      </x:c>
      <x:c r="E18" s="3" t="n">
        <x:v>0</x:v>
      </x:c>
      <x:c r="F18" s="3" t="n">
        <x:v>0</x:v>
      </x:c>
      <x:c r="G18" s="3" t="n">
        <x:v>9</x:v>
      </x:c>
      <x:c r="H18" s="3" t="n">
        <x:v>0</x:v>
      </x:c>
      <x:c r="I18" s="3" t="inlineStr">
        <x:is>
          <x:t xml:space="preserve">AZ-led fit</x:t>
        </x:is>
      </x:c>
      <x:c r="J18" s="3" t="inlineStr">
        <x:is>
          <x:t xml:space="preserve"/>
        </x:is>
      </x:c>
    </x:row>
    <x:row r="19">
      <x:c r="A19" s="3" t="inlineStr">
        <x:is>
          <x:t xml:space="preserve">rare-disease--shared-modalities</x:t>
        </x:is>
      </x:c>
      <x:c r="B19" s="3" t="inlineStr">
        <x:is>
          <x:t xml:space="preserve">Rare disease</x:t>
        </x:is>
      </x:c>
      <x:c r="C19" s="3" t="inlineStr">
        <x:is>
          <x:t xml:space="preserve">Rare disease</x:t>
        </x:is>
      </x:c>
      <x:c r="D19" s="3" t="inlineStr">
        <x:is>
          <x:t xml:space="preserve">Shared modalities</x:t>
        </x:is>
      </x:c>
      <x:c r="E19" s="3" t="n">
        <x:v>0</x:v>
      </x:c>
      <x:c r="F19" s="3" t="n">
        <x:v>0</x:v>
      </x:c>
      <x:c r="G19" s="3" t="n">
        <x:v>9</x:v>
      </x:c>
      <x:c r="H19" s="3" t="n">
        <x:v>0</x:v>
      </x:c>
      <x:c r="I19" s="3" t="inlineStr">
        <x:is>
          <x:t xml:space="preserve">AZ-led fit</x:t>
        </x:is>
      </x:c>
      <x:c r="J19" s="3" t="inlineStr">
        <x:is>
          <x:t xml:space="preserve"/>
        </x:is>
      </x:c>
    </x:row>
    <x:row r="20">
      <x:c r="A20" s="3" t="inlineStr">
        <x:is>
          <x:t xml:space="preserve">rare-disease--shared-target-mechanism</x:t>
        </x:is>
      </x:c>
      <x:c r="B20" s="3" t="inlineStr">
        <x:is>
          <x:t xml:space="preserve">Rare disease</x:t>
        </x:is>
      </x:c>
      <x:c r="C20" s="3" t="inlineStr">
        <x:is>
          <x:t xml:space="preserve">Rare disease</x:t>
        </x:is>
      </x:c>
      <x:c r="D20" s="3" t="inlineStr">
        <x:is>
          <x:t xml:space="preserve">Shared target / mechanism</x:t>
        </x:is>
      </x:c>
      <x:c r="E20" s="3" t="n">
        <x:v>0</x:v>
      </x:c>
      <x:c r="F20" s="3" t="n">
        <x:v>0</x:v>
      </x:c>
      <x:c r="G20" s="3" t="n">
        <x:v>9</x:v>
      </x:c>
      <x:c r="H20" s="3" t="n">
        <x:v>0</x:v>
      </x:c>
      <x:c r="I20" s="3" t="inlineStr">
        <x:is>
          <x:t xml:space="preserve">AZ-led fit</x:t>
        </x:is>
      </x:c>
      <x:c r="J20" s="3" t="inlineStr">
        <x:is>
          <x:t xml:space="preserve"/>
        </x:is>
      </x:c>
    </x:row>
    <x:row r="21">
      <x:c r="A21" s="3" t="inlineStr">
        <x:is>
          <x:t xml:space="preserve">rare-disease--stage-alignment</x:t>
        </x:is>
      </x:c>
      <x:c r="B21" s="3" t="inlineStr">
        <x:is>
          <x:t xml:space="preserve">Rare disease</x:t>
        </x:is>
      </x:c>
      <x:c r="C21" s="3" t="inlineStr">
        <x:is>
          <x:t xml:space="preserve">Rare disease</x:t>
        </x:is>
      </x:c>
      <x:c r="D21" s="3" t="inlineStr">
        <x:is>
          <x:t xml:space="preserve">Stage alignment</x:t>
        </x:is>
      </x:c>
      <x:c r="E21" s="3" t="n">
        <x:v>0</x:v>
      </x:c>
      <x:c r="F21" s="3" t="n">
        <x:v>0</x:v>
      </x:c>
      <x:c r="G21" s="3" t="n">
        <x:v>9</x:v>
      </x:c>
      <x:c r="H21" s="3" t="n">
        <x:v>0</x:v>
      </x:c>
      <x:c r="I21" s="3" t="inlineStr">
        <x:is>
          <x:t xml:space="preserve">AZ-led fit</x:t>
        </x:is>
      </x:c>
      <x:c r="J21" s="3" t="inlineStr">
        <x:is>
          <x:t xml:space="preserve"/>
        </x:is>
      </x:c>
    </x:row>
    <x:row r="22">
      <x:c r="A22" s="3" t="inlineStr">
        <x:is>
          <x:t xml:space="preserve">renal-and-metabolic--shared-indications</x:t>
        </x:is>
      </x:c>
      <x:c r="B22" s="3" t="inlineStr">
        <x:is>
          <x:t xml:space="preserve">Renal &amp; metabolic</x:t>
        </x:is>
      </x:c>
      <x:c r="C22" s="3" t="inlineStr">
        <x:is>
          <x:t xml:space="preserve">Renal / metabolic</x:t>
        </x:is>
      </x:c>
      <x:c r="D22" s="3" t="inlineStr">
        <x:is>
          <x:t xml:space="preserve">Shared indications</x:t>
        </x:is>
      </x:c>
      <x:c r="E22" s="3" t="n">
        <x:v>0</x:v>
      </x:c>
      <x:c r="F22" s="3" t="n">
        <x:v>0</x:v>
      </x:c>
      <x:c r="G22" s="3" t="n">
        <x:v>7</x:v>
      </x:c>
      <x:c r="H22" s="3" t="n">
        <x:v>0</x:v>
      </x:c>
      <x:c r="I22" s="3" t="inlineStr">
        <x:is>
          <x:t xml:space="preserve">AZ-led fit</x:t>
        </x:is>
      </x:c>
      <x:c r="J22" s="3" t="inlineStr">
        <x:is>
          <x:t xml:space="preserve"/>
        </x:is>
      </x:c>
    </x:row>
    <x:row r="23">
      <x:c r="A23" s="3" t="inlineStr">
        <x:is>
          <x:t xml:space="preserve">renal-and-metabolic--shared-modalities</x:t>
        </x:is>
      </x:c>
      <x:c r="B23" s="3" t="inlineStr">
        <x:is>
          <x:t xml:space="preserve">Renal &amp; metabolic</x:t>
        </x:is>
      </x:c>
      <x:c r="C23" s="3" t="inlineStr">
        <x:is>
          <x:t xml:space="preserve">Renal / metabolic</x:t>
        </x:is>
      </x:c>
      <x:c r="D23" s="3" t="inlineStr">
        <x:is>
          <x:t xml:space="preserve">Shared modalities</x:t>
        </x:is>
      </x:c>
      <x:c r="E23" s="3" t="n">
        <x:v>0</x:v>
      </x:c>
      <x:c r="F23" s="3" t="n">
        <x:v>0</x:v>
      </x:c>
      <x:c r="G23" s="3" t="n">
        <x:v>7</x:v>
      </x:c>
      <x:c r="H23" s="3" t="n">
        <x:v>0</x:v>
      </x:c>
      <x:c r="I23" s="3" t="inlineStr">
        <x:is>
          <x:t xml:space="preserve">AZ-led fit</x:t>
        </x:is>
      </x:c>
      <x:c r="J23" s="3" t="inlineStr">
        <x:is>
          <x:t xml:space="preserve"/>
        </x:is>
      </x:c>
    </x:row>
    <x:row r="24">
      <x:c r="A24" s="3" t="inlineStr">
        <x:is>
          <x:t xml:space="preserve">renal-and-metabolic--shared-target-mechanism</x:t>
        </x:is>
      </x:c>
      <x:c r="B24" s="3" t="inlineStr">
        <x:is>
          <x:t xml:space="preserve">Renal &amp; metabolic</x:t>
        </x:is>
      </x:c>
      <x:c r="C24" s="3" t="inlineStr">
        <x:is>
          <x:t xml:space="preserve">Renal / metabolic</x:t>
        </x:is>
      </x:c>
      <x:c r="D24" s="3" t="inlineStr">
        <x:is>
          <x:t xml:space="preserve">Shared target / mechanism</x:t>
        </x:is>
      </x:c>
      <x:c r="E24" s="3" t="n">
        <x:v>0</x:v>
      </x:c>
      <x:c r="F24" s="3" t="n">
        <x:v>0</x:v>
      </x:c>
      <x:c r="G24" s="3" t="n">
        <x:v>7</x:v>
      </x:c>
      <x:c r="H24" s="3" t="n">
        <x:v>0</x:v>
      </x:c>
      <x:c r="I24" s="3" t="inlineStr">
        <x:is>
          <x:t xml:space="preserve">AZ-led fit</x:t>
        </x:is>
      </x:c>
      <x:c r="J24" s="3" t="inlineStr">
        <x:is>
          <x:t xml:space="preserve"/>
        </x:is>
      </x:c>
    </x:row>
    <x:row r="25">
      <x:c r="A25" s="3" t="inlineStr">
        <x:is>
          <x:t xml:space="preserve">renal-and-metabolic--stage-alignment</x:t>
        </x:is>
      </x:c>
      <x:c r="B25" s="3" t="inlineStr">
        <x:is>
          <x:t xml:space="preserve">Renal &amp; metabolic</x:t>
        </x:is>
      </x:c>
      <x:c r="C25" s="3" t="inlineStr">
        <x:is>
          <x:t xml:space="preserve">Renal / metabolic</x:t>
        </x:is>
      </x:c>
      <x:c r="D25" s="3" t="inlineStr">
        <x:is>
          <x:t xml:space="preserve">Stage alignment</x:t>
        </x:is>
      </x:c>
      <x:c r="E25" s="3" t="n">
        <x:v>0</x:v>
      </x:c>
      <x:c r="F25" s="3" t="n">
        <x:v>0</x:v>
      </x:c>
      <x:c r="G25" s="3" t="n">
        <x:v>7</x:v>
      </x:c>
      <x:c r="H25" s="3" t="n">
        <x:v>0</x:v>
      </x:c>
      <x:c r="I25" s="3" t="inlineStr">
        <x:is>
          <x:t xml:space="preserve">AZ-led fit</x:t>
        </x:is>
      </x:c>
      <x:c r="J25" s="3" t="inlineStr">
        <x:is>
          <x:t xml:space="preserve"/>
        </x:is>
      </x:c>
    </x:row>
    <x:row r="26">
      <x:c r="A26" s="3" t="inlineStr">
        <x:is>
          <x:t xml:space="preserve">infectious-disease--shared-indications</x:t>
        </x:is>
      </x:c>
      <x:c r="B26" s="3" t="inlineStr">
        <x:is>
          <x:t xml:space="preserve">Infectious disease</x:t>
        </x:is>
      </x:c>
      <x:c r="C26" s="3" t="inlineStr">
        <x:is>
          <x:t xml:space="preserve">Infectious disease</x:t>
        </x:is>
      </x:c>
      <x:c r="D26" s="3" t="inlineStr">
        <x:is>
          <x:t xml:space="preserve">Shared indications</x:t>
        </x:is>
      </x:c>
      <x:c r="E26" s="3" t="n">
        <x:v>0</x:v>
      </x:c>
      <x:c r="F26" s="3" t="n">
        <x:v>0</x:v>
      </x:c>
      <x:c r="G26" s="3" t="n">
        <x:v>3</x:v>
      </x:c>
      <x:c r="H26" s="3" t="n">
        <x:v>0</x:v>
      </x:c>
      <x:c r="I26" s="3" t="inlineStr">
        <x:is>
          <x:t xml:space="preserve">AZ-led fit</x:t>
        </x:is>
      </x:c>
      <x:c r="J26" s="3" t="inlineStr">
        <x:is>
          <x:t xml:space="preserve"/>
        </x:is>
      </x:c>
    </x:row>
    <x:row r="27">
      <x:c r="A27" s="3" t="inlineStr">
        <x:is>
          <x:t xml:space="preserve">infectious-disease--shared-modalities</x:t>
        </x:is>
      </x:c>
      <x:c r="B27" s="3" t="inlineStr">
        <x:is>
          <x:t xml:space="preserve">Infectious disease</x:t>
        </x:is>
      </x:c>
      <x:c r="C27" s="3" t="inlineStr">
        <x:is>
          <x:t xml:space="preserve">Infectious disease</x:t>
        </x:is>
      </x:c>
      <x:c r="D27" s="3" t="inlineStr">
        <x:is>
          <x:t xml:space="preserve">Shared modalities</x:t>
        </x:is>
      </x:c>
      <x:c r="E27" s="3" t="n">
        <x:v>0</x:v>
      </x:c>
      <x:c r="F27" s="3" t="n">
        <x:v>0</x:v>
      </x:c>
      <x:c r="G27" s="3" t="n">
        <x:v>3</x:v>
      </x:c>
      <x:c r="H27" s="3" t="n">
        <x:v>0</x:v>
      </x:c>
      <x:c r="I27" s="3" t="inlineStr">
        <x:is>
          <x:t xml:space="preserve">AZ-led fit</x:t>
        </x:is>
      </x:c>
      <x:c r="J27" s="3" t="inlineStr">
        <x:is>
          <x:t xml:space="preserve"/>
        </x:is>
      </x:c>
    </x:row>
    <x:row r="28">
      <x:c r="A28" s="3" t="inlineStr">
        <x:is>
          <x:t xml:space="preserve">infectious-disease--shared-target-mechanism</x:t>
        </x:is>
      </x:c>
      <x:c r="B28" s="3" t="inlineStr">
        <x:is>
          <x:t xml:space="preserve">Infectious disease</x:t>
        </x:is>
      </x:c>
      <x:c r="C28" s="3" t="inlineStr">
        <x:is>
          <x:t xml:space="preserve">Infectious disease</x:t>
        </x:is>
      </x:c>
      <x:c r="D28" s="3" t="inlineStr">
        <x:is>
          <x:t xml:space="preserve">Shared target / mechanism</x:t>
        </x:is>
      </x:c>
      <x:c r="E28" s="3" t="n">
        <x:v>0</x:v>
      </x:c>
      <x:c r="F28" s="3" t="n">
        <x:v>0</x:v>
      </x:c>
      <x:c r="G28" s="3" t="n">
        <x:v>3</x:v>
      </x:c>
      <x:c r="H28" s="3" t="n">
        <x:v>0</x:v>
      </x:c>
      <x:c r="I28" s="3" t="inlineStr">
        <x:is>
          <x:t xml:space="preserve">AZ-led fit</x:t>
        </x:is>
      </x:c>
      <x:c r="J28" s="3" t="inlineStr">
        <x:is>
          <x:t xml:space="preserve"/>
        </x:is>
      </x:c>
    </x:row>
    <x:row r="29">
      <x:c r="A29" s="3" t="inlineStr">
        <x:is>
          <x:t xml:space="preserve">infectious-disease--stage-alignment</x:t>
        </x:is>
      </x:c>
      <x:c r="B29" s="3" t="inlineStr">
        <x:is>
          <x:t xml:space="preserve">Infectious disease</x:t>
        </x:is>
      </x:c>
      <x:c r="C29" s="3" t="inlineStr">
        <x:is>
          <x:t xml:space="preserve">Infectious disease</x:t>
        </x:is>
      </x:c>
      <x:c r="D29" s="3" t="inlineStr">
        <x:is>
          <x:t xml:space="preserve">Stage alignment</x:t>
        </x:is>
      </x:c>
      <x:c r="E29" s="3" t="n">
        <x:v>0</x:v>
      </x:c>
      <x:c r="F29" s="3" t="n">
        <x:v>0</x:v>
      </x:c>
      <x:c r="G29" s="3" t="n">
        <x:v>3</x:v>
      </x:c>
      <x:c r="H29" s="3" t="n">
        <x:v>0</x:v>
      </x:c>
      <x:c r="I29" s="3" t="inlineStr">
        <x:is>
          <x:t xml:space="preserve">AZ-led fit</x:t>
        </x:is>
      </x:c>
      <x:c r="J29" s="3" t="inlineStr">
        <x:is>
          <x:t xml:space="preserve"/>
        </x:is>
      </x:c>
    </x:row>
    <x:row r="30">
      <x:c r="A30" s="3" t="inlineStr">
        <x:is>
          <x:t xml:space="preserve">neuroscience--shared-indications</x:t>
        </x:is>
      </x:c>
      <x:c r="B30" s="3" t="inlineStr">
        <x:is>
          <x:t xml:space="preserve">Neuroscience</x:t>
        </x:is>
      </x:c>
      <x:c r="C30" s="3" t="inlineStr">
        <x:is>
          <x:t xml:space="preserve">Neuroscience</x:t>
        </x:is>
      </x:c>
      <x:c r="D30" s="3" t="inlineStr">
        <x:is>
          <x:t xml:space="preserve">Shared indications</x:t>
        </x:is>
      </x:c>
      <x:c r="E30" s="3" t="n">
        <x:v>0</x:v>
      </x:c>
      <x:c r="F30" s="3" t="n">
        <x:v>0</x:v>
      </x:c>
      <x:c r="G30" s="3" t="n">
        <x:v>0</x:v>
      </x:c>
      <x:c r="H30" s="3" t="n">
        <x:v>2</x:v>
      </x:c>
      <x:c r="I30" s="3" t="inlineStr">
        <x:is>
          <x:t xml:space="preserve">BMS-led fit</x:t>
        </x:is>
      </x:c>
      <x:c r="J30" s="3" t="inlineStr">
        <x:is>
          <x:t xml:space="preserve"/>
        </x:is>
      </x:c>
    </x:row>
    <x:row r="31">
      <x:c r="A31" s="3" t="inlineStr">
        <x:is>
          <x:t xml:space="preserve">neuroscience--shared-modalities</x:t>
        </x:is>
      </x:c>
      <x:c r="B31" s="3" t="inlineStr">
        <x:is>
          <x:t xml:space="preserve">Neuroscience</x:t>
        </x:is>
      </x:c>
      <x:c r="C31" s="3" t="inlineStr">
        <x:is>
          <x:t xml:space="preserve">Neuroscience</x:t>
        </x:is>
      </x:c>
      <x:c r="D31" s="3" t="inlineStr">
        <x:is>
          <x:t xml:space="preserve">Shared modalities</x:t>
        </x:is>
      </x:c>
      <x:c r="E31" s="3" t="n">
        <x:v>0</x:v>
      </x:c>
      <x:c r="F31" s="3" t="n">
        <x:v>0</x:v>
      </x:c>
      <x:c r="G31" s="3" t="n">
        <x:v>0</x:v>
      </x:c>
      <x:c r="H31" s="3" t="n">
        <x:v>2</x:v>
      </x:c>
      <x:c r="I31" s="3" t="inlineStr">
        <x:is>
          <x:t xml:space="preserve">BMS-led fit</x:t>
        </x:is>
      </x:c>
      <x:c r="J31" s="3" t="inlineStr">
        <x:is>
          <x:t xml:space="preserve"/>
        </x:is>
      </x:c>
    </x:row>
    <x:row r="32">
      <x:c r="A32" s="3" t="inlineStr">
        <x:is>
          <x:t xml:space="preserve">neuroscience--shared-target-mechanism</x:t>
        </x:is>
      </x:c>
      <x:c r="B32" s="3" t="inlineStr">
        <x:is>
          <x:t xml:space="preserve">Neuroscience</x:t>
        </x:is>
      </x:c>
      <x:c r="C32" s="3" t="inlineStr">
        <x:is>
          <x:t xml:space="preserve">Neuroscience</x:t>
        </x:is>
      </x:c>
      <x:c r="D32" s="3" t="inlineStr">
        <x:is>
          <x:t xml:space="preserve">Shared target / mechanism</x:t>
        </x:is>
      </x:c>
      <x:c r="E32" s="3" t="n">
        <x:v>0</x:v>
      </x:c>
      <x:c r="F32" s="3" t="n">
        <x:v>0</x:v>
      </x:c>
      <x:c r="G32" s="3" t="n">
        <x:v>0</x:v>
      </x:c>
      <x:c r="H32" s="3" t="n">
        <x:v>2</x:v>
      </x:c>
      <x:c r="I32" s="3" t="inlineStr">
        <x:is>
          <x:t xml:space="preserve">BMS-led fit</x:t>
        </x:is>
      </x:c>
      <x:c r="J32" s="3" t="inlineStr">
        <x:is>
          <x:t xml:space="preserve"/>
        </x:is>
      </x:c>
    </x:row>
    <x:row r="33">
      <x:c r="A33" s="3" t="inlineStr">
        <x:is>
          <x:t xml:space="preserve">neuroscience--stage-alignment</x:t>
        </x:is>
      </x:c>
      <x:c r="B33" s="3" t="inlineStr">
        <x:is>
          <x:t xml:space="preserve">Neuroscience</x:t>
        </x:is>
      </x:c>
      <x:c r="C33" s="3" t="inlineStr">
        <x:is>
          <x:t xml:space="preserve">Neuroscience</x:t>
        </x:is>
      </x:c>
      <x:c r="D33" s="3" t="inlineStr">
        <x:is>
          <x:t xml:space="preserve">Stage alignment</x:t>
        </x:is>
      </x:c>
      <x:c r="E33" s="3" t="n">
        <x:v>0</x:v>
      </x:c>
      <x:c r="F33" s="3" t="n">
        <x:v>0</x:v>
      </x:c>
      <x:c r="G33" s="3" t="n">
        <x:v>0</x:v>
      </x:c>
      <x:c r="H33" s="3" t="n">
        <x:v>2</x:v>
      </x:c>
      <x:c r="I33" s="3" t="inlineStr">
        <x:is>
          <x:t xml:space="preserve">BMS-led fit</x:t>
        </x:is>
      </x:c>
      <x:c r="J33" s="3" t="inlineStr">
        <x:is>
          <x:t xml:space="preserve"/>
        </x:is>
      </x:c>
    </x:row>
  </x:sheetData>
  <x:pageMargins left="0.7" right="0.7" top="0.75" bottom="0.75" header="0.3" footer="0.3"/>
  <x:tableParts count="1">
    <x:tablePart xmlns:r="http://schemas.openxmlformats.org/officeDocument/2006/relationships" r:id="Rf6db4ce62367429c"/>
  </x:tableParts>
</x:worksheet>
</file>